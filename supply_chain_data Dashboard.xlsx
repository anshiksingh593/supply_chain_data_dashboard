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f5840d769d95cdc6/Desktop/data analytics project/"/>
    </mc:Choice>
  </mc:AlternateContent>
  <xr:revisionPtr revIDLastSave="0" documentId="8_{DBEF4146-9758-4C5E-B3C6-1A0B7006CEB7}" xr6:coauthVersionLast="47" xr6:coauthVersionMax="47" xr10:uidLastSave="{00000000-0000-0000-0000-000000000000}"/>
  <bookViews>
    <workbookView xWindow="-108" yWindow="-108" windowWidth="23256" windowHeight="12456" activeTab="2" xr2:uid="{AD140E39-0076-4EDE-A4B2-639B5FAB6108}"/>
  </bookViews>
  <sheets>
    <sheet name="pivot table" sheetId="5" r:id="rId1"/>
    <sheet name="slicers" sheetId="7" r:id="rId2"/>
    <sheet name="dashboard" sheetId="8" r:id="rId3"/>
    <sheet name="charts" sheetId="6" r:id="rId4"/>
    <sheet name="supply_chain_data" sheetId="1" r:id="rId5"/>
  </sheets>
  <definedNames>
    <definedName name="Slicer_Customer_demographics">#N/A</definedName>
    <definedName name="Slicer_Location">#N/A</definedName>
    <definedName name="Slicer_Product_type">#N/A</definedName>
    <definedName name="Slicer_Shipping_carriers">#N/A</definedName>
    <definedName name="Slicer_Supplier_name">#N/A</definedName>
    <definedName name="Slicer_Transportation_mode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7" i="5" l="1"/>
  <c r="A16" i="5"/>
  <c r="C11" i="5"/>
  <c r="A10" i="5"/>
  <c r="C5" i="5"/>
  <c r="A5" i="5"/>
</calcChain>
</file>

<file path=xl/sharedStrings.xml><?xml version="1.0" encoding="utf-8"?>
<sst xmlns="http://schemas.openxmlformats.org/spreadsheetml/2006/main" count="1031" uniqueCount="180">
  <si>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</si>
  <si>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</si>
  <si>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</si>
  <si>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</si>
  <si>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</si>
  <si>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</si>
  <si>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</si>
  <si>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</si>
  <si>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</si>
  <si>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</si>
  <si>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</si>
  <si>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</si>
  <si>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</si>
  <si>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</si>
  <si>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</si>
  <si>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</si>
  <si>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</si>
  <si>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</si>
  <si>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</si>
  <si>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</si>
  <si>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</si>
  <si>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</si>
  <si>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</si>
  <si>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</si>
  <si>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</si>
  <si>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</si>
  <si>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</si>
  <si>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</si>
  <si>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</si>
  <si>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</si>
  <si>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</si>
  <si>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</si>
  <si>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</si>
  <si>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</si>
  <si>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</si>
  <si>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</si>
  <si>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</si>
  <si>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</si>
  <si>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</si>
  <si>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</si>
  <si>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</si>
  <si>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</si>
  <si>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</si>
  <si>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</si>
  <si>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</si>
  <si>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</si>
  <si>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</si>
  <si>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</si>
  <si>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</si>
  <si>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</si>
  <si>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</si>
  <si>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</si>
  <si>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</si>
  <si>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</si>
  <si>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</si>
  <si>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</si>
  <si>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</si>
  <si>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</si>
  <si>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</si>
  <si>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</si>
  <si>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</si>
  <si>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</si>
  <si>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</si>
  <si>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</si>
  <si>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</si>
  <si>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</si>
  <si>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</si>
  <si>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</si>
  <si>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</si>
  <si>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</si>
  <si>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</si>
  <si>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</si>
  <si>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</si>
  <si>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</si>
  <si>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</si>
  <si>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</si>
  <si>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</si>
  <si>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</si>
  <si>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</si>
  <si>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</si>
  <si>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</si>
  <si>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</si>
  <si>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</si>
  <si>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</si>
  <si>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</si>
  <si>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</si>
  <si>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</si>
  <si>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</si>
  <si>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</si>
  <si>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</si>
  <si>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</si>
  <si>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</si>
  <si>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</si>
  <si>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</si>
  <si>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</si>
  <si>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</si>
  <si>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</si>
  <si>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</si>
  <si>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</si>
  <si>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</si>
  <si>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</si>
  <si>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</si>
  <si>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</si>
  <si>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</si>
  <si>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</si>
  <si>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</si>
  <si>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</si>
  <si>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</si>
  <si>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</si>
  <si>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</si>
  <si>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</si>
  <si>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</si>
  <si>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</si>
  <si>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</si>
  <si>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</si>
  <si>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</si>
  <si>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</si>
  <si>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</si>
  <si>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</si>
  <si>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</si>
  <si>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</si>
  <si>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</si>
  <si>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</si>
  <si>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</si>
  <si>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</si>
  <si>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</si>
  <si>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</si>
  <si>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</si>
  <si>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</si>
  <si>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</si>
  <si>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</si>
  <si>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</si>
  <si>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</si>
  <si>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</si>
  <si>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</si>
  <si>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</si>
  <si>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</si>
  <si>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</si>
  <si>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</si>
  <si>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</si>
  <si>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</si>
  <si>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</si>
  <si>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</si>
  <si>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</si>
  <si>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</si>
  <si>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</si>
  <si>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</si>
  <si>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</si>
  <si>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</si>
  <si>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</si>
  <si>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</si>
  <si>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</si>
  <si>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</si>
  <si>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</si>
  <si>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Sum of Revenue generated</t>
  </si>
  <si>
    <t>Sum of Number of products sold</t>
  </si>
  <si>
    <t>Count of Number of products sold</t>
  </si>
  <si>
    <t>Average of Price</t>
  </si>
  <si>
    <t>Average of Defect rates</t>
  </si>
  <si>
    <t>Average of Lead times</t>
  </si>
  <si>
    <t>Average of Shipping costs</t>
  </si>
  <si>
    <t>Revenue by Product Type</t>
  </si>
  <si>
    <t>Row Labels</t>
  </si>
  <si>
    <t>Grand Total</t>
  </si>
  <si>
    <t>Revenue by Customer Demographics</t>
  </si>
  <si>
    <t>Products Sold by Product Type</t>
  </si>
  <si>
    <t>Supplier Performance</t>
  </si>
  <si>
    <t>Manufacturing Cost by Product Type</t>
  </si>
  <si>
    <t>Sum of Manufacturing costs</t>
  </si>
  <si>
    <t>Defect Rate by Supplier</t>
  </si>
  <si>
    <t>Defect Rate by Product Type</t>
  </si>
  <si>
    <t>Revenue by Location</t>
  </si>
  <si>
    <t>Shipping Cost by Carrier</t>
  </si>
  <si>
    <t>Transportation Mode Analysis</t>
  </si>
  <si>
    <t>Average of Shipping times</t>
  </si>
  <si>
    <t>Inspection Results Analysis</t>
  </si>
  <si>
    <t>Count of SKU</t>
  </si>
  <si>
    <t>Inventory Analysis</t>
  </si>
  <si>
    <t>Average of Stock levels</t>
  </si>
  <si>
    <t>Average of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</si>
</sst>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42A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table!PivotTable8</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0621876288451"/>
          <c:y val="0.15594541910331383"/>
          <c:w val="0.66022264458322022"/>
          <c:h val="0.44893478227502265"/>
        </c:manualLayout>
      </c:layout>
      <c:barChart>
        <c:barDir val="col"/>
        <c:grouping val="clustered"/>
        <c:varyColors val="0"/>
        <c:ser>
          <c:idx val="0"/>
          <c:order val="0"/>
          <c:tx>
            <c:strRef>
              <c:f>'pivot table'!$F$4</c:f>
              <c:strCache>
                <c:ptCount val="1"/>
                <c:pt idx="0">
                  <c:v>Total</c:v>
                </c:pt>
              </c:strCache>
            </c:strRef>
          </c:tx>
          <c:spPr>
            <a:solidFill>
              <a:schemeClr val="accent1"/>
            </a:solidFill>
            <a:ln>
              <a:noFill/>
            </a:ln>
            <a:effectLst/>
          </c:spPr>
          <c:invertIfNegative val="0"/>
          <c:cat>
            <c:strRef>
              <c:f>'pivot table'!$E$5:$E$8</c:f>
              <c:strCache>
                <c:ptCount val="3"/>
                <c:pt idx="0">
                  <c:v>cosmetics</c:v>
                </c:pt>
                <c:pt idx="1">
                  <c:v>haircare</c:v>
                </c:pt>
                <c:pt idx="2">
                  <c:v>skincare</c:v>
                </c:pt>
              </c:strCache>
            </c:strRef>
          </c:cat>
          <c:val>
            <c:numRef>
              <c:f>'pivot table'!$F$5:$F$8</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BA7C-4347-93B4-184109AD13F6}"/>
            </c:ext>
          </c:extLst>
        </c:ser>
        <c:dLbls>
          <c:showLegendKey val="0"/>
          <c:showVal val="0"/>
          <c:showCatName val="0"/>
          <c:showSerName val="0"/>
          <c:showPercent val="0"/>
          <c:showBubbleSize val="0"/>
        </c:dLbls>
        <c:gapWidth val="219"/>
        <c:overlap val="-27"/>
        <c:axId val="400550568"/>
        <c:axId val="400530768"/>
      </c:barChart>
      <c:catAx>
        <c:axId val="40055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30768"/>
        <c:crosses val="autoZero"/>
        <c:auto val="1"/>
        <c:lblAlgn val="ctr"/>
        <c:lblOffset val="100"/>
        <c:noMultiLvlLbl val="0"/>
      </c:catAx>
      <c:valAx>
        <c:axId val="40053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50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table'!$J$29</c:f>
              <c:strCache>
                <c:ptCount val="1"/>
                <c:pt idx="0">
                  <c:v>Total</c:v>
                </c:pt>
              </c:strCache>
            </c:strRef>
          </c:tx>
          <c:spPr>
            <a:solidFill>
              <a:schemeClr val="accent1"/>
            </a:solidFill>
            <a:ln>
              <a:noFill/>
            </a:ln>
            <a:effectLst/>
          </c:spPr>
          <c:invertIfNegative val="0"/>
          <c:cat>
            <c:strRef>
              <c:f>'pivot table'!$I$30:$I$35</c:f>
              <c:strCache>
                <c:ptCount val="5"/>
                <c:pt idx="0">
                  <c:v>Bangalore</c:v>
                </c:pt>
                <c:pt idx="1">
                  <c:v>Chennai</c:v>
                </c:pt>
                <c:pt idx="2">
                  <c:v>Delhi</c:v>
                </c:pt>
                <c:pt idx="3">
                  <c:v>Kolkata</c:v>
                </c:pt>
                <c:pt idx="4">
                  <c:v>Mumbai</c:v>
                </c:pt>
              </c:strCache>
            </c:strRef>
          </c:cat>
          <c:val>
            <c:numRef>
              <c:f>'pivot table'!$J$30:$J$35</c:f>
              <c:numCache>
                <c:formatCode>General</c:formatCode>
                <c:ptCount val="5"/>
                <c:pt idx="0">
                  <c:v>102601.72388223567</c:v>
                </c:pt>
                <c:pt idx="1">
                  <c:v>119142.8157480693</c:v>
                </c:pt>
                <c:pt idx="2">
                  <c:v>81027.701224852935</c:v>
                </c:pt>
                <c:pt idx="3">
                  <c:v>137077.55100538101</c:v>
                </c:pt>
                <c:pt idx="4">
                  <c:v>137755.02687746932</c:v>
                </c:pt>
              </c:numCache>
            </c:numRef>
          </c:val>
          <c:extLst>
            <c:ext xmlns:c16="http://schemas.microsoft.com/office/drawing/2014/chart" uri="{C3380CC4-5D6E-409C-BE32-E72D297353CC}">
              <c16:uniqueId val="{00000000-5670-4D32-B8F0-9779D26C7208}"/>
            </c:ext>
          </c:extLst>
        </c:ser>
        <c:dLbls>
          <c:showLegendKey val="0"/>
          <c:showVal val="0"/>
          <c:showCatName val="0"/>
          <c:showSerName val="0"/>
          <c:showPercent val="0"/>
          <c:showBubbleSize val="0"/>
        </c:dLbls>
        <c:gapWidth val="182"/>
        <c:axId val="526927400"/>
        <c:axId val="526924880"/>
      </c:barChart>
      <c:catAx>
        <c:axId val="526927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880"/>
        <c:crosses val="autoZero"/>
        <c:auto val="1"/>
        <c:lblAlgn val="ctr"/>
        <c:lblOffset val="100"/>
        <c:noMultiLvlLbl val="0"/>
      </c:catAx>
      <c:valAx>
        <c:axId val="526924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7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table!PivotTable10</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AB-4101-8179-45B2C63B4A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AB-4101-8179-45B2C63B4A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AB-4101-8179-45B2C63B4A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AB-4101-8179-45B2C63B4A6C}"/>
              </c:ext>
            </c:extLst>
          </c:dPt>
          <c:cat>
            <c:strRef>
              <c:f>'pivot table'!$E$19:$E$23</c:f>
              <c:strCache>
                <c:ptCount val="4"/>
                <c:pt idx="0">
                  <c:v>Female</c:v>
                </c:pt>
                <c:pt idx="1">
                  <c:v>Male</c:v>
                </c:pt>
                <c:pt idx="2">
                  <c:v>Non-binary</c:v>
                </c:pt>
                <c:pt idx="3">
                  <c:v>Unknown</c:v>
                </c:pt>
              </c:strCache>
            </c:strRef>
          </c:cat>
          <c:val>
            <c:numRef>
              <c:f>'pivot table'!$F$19:$F$23</c:f>
              <c:numCache>
                <c:formatCode>General</c:formatCode>
                <c:ptCount val="4"/>
                <c:pt idx="0">
                  <c:v>161514.48912163053</c:v>
                </c:pt>
                <c:pt idx="1">
                  <c:v>126634.3942597939</c:v>
                </c:pt>
                <c:pt idx="2">
                  <c:v>116365.80151960922</c:v>
                </c:pt>
                <c:pt idx="3">
                  <c:v>173090.13383697456</c:v>
                </c:pt>
              </c:numCache>
            </c:numRef>
          </c:val>
          <c:extLst>
            <c:ext xmlns:c16="http://schemas.microsoft.com/office/drawing/2014/chart" uri="{C3380CC4-5D6E-409C-BE32-E72D297353CC}">
              <c16:uniqueId val="{00000000-515A-4C3F-A198-92A7CEE459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table'!$F$26</c:f>
              <c:strCache>
                <c:ptCount val="1"/>
                <c:pt idx="0">
                  <c:v>Sum of Revenue generated</c:v>
                </c:pt>
              </c:strCache>
            </c:strRef>
          </c:tx>
          <c:spPr>
            <a:solidFill>
              <a:schemeClr val="accent1"/>
            </a:solidFill>
            <a:ln>
              <a:noFill/>
            </a:ln>
            <a:effectLst/>
          </c:spPr>
          <c:invertIfNegative val="0"/>
          <c:cat>
            <c:strRef>
              <c:f>'pivot table'!$E$27:$E$32</c:f>
              <c:strCache>
                <c:ptCount val="5"/>
                <c:pt idx="0">
                  <c:v>Supplier 1</c:v>
                </c:pt>
                <c:pt idx="1">
                  <c:v>Supplier 2</c:v>
                </c:pt>
                <c:pt idx="2">
                  <c:v>Supplier 3</c:v>
                </c:pt>
                <c:pt idx="3">
                  <c:v>Supplier 4</c:v>
                </c:pt>
                <c:pt idx="4">
                  <c:v>Supplier 5</c:v>
                </c:pt>
              </c:strCache>
            </c:strRef>
          </c:cat>
          <c:val>
            <c:numRef>
              <c:f>'pivot table'!$F$27:$F$32</c:f>
              <c:numCache>
                <c:formatCode>General</c:formatCode>
                <c:ptCount val="5"/>
                <c:pt idx="0">
                  <c:v>157528.99503945635</c:v>
                </c:pt>
                <c:pt idx="1">
                  <c:v>125467.41860530026</c:v>
                </c:pt>
                <c:pt idx="2">
                  <c:v>97795.979638162171</c:v>
                </c:pt>
                <c:pt idx="3">
                  <c:v>86468.961798802658</c:v>
                </c:pt>
                <c:pt idx="4">
                  <c:v>110343.46365628684</c:v>
                </c:pt>
              </c:numCache>
            </c:numRef>
          </c:val>
          <c:extLst>
            <c:ext xmlns:c16="http://schemas.microsoft.com/office/drawing/2014/chart" uri="{C3380CC4-5D6E-409C-BE32-E72D297353CC}">
              <c16:uniqueId val="{00000000-0FDC-41D0-B5A8-D1917E708CA1}"/>
            </c:ext>
          </c:extLst>
        </c:ser>
        <c:ser>
          <c:idx val="1"/>
          <c:order val="1"/>
          <c:tx>
            <c:strRef>
              <c:f>'pivot table'!$G$26</c:f>
              <c:strCache>
                <c:ptCount val="1"/>
                <c:pt idx="0">
                  <c:v>Average of Lead times</c:v>
                </c:pt>
              </c:strCache>
            </c:strRef>
          </c:tx>
          <c:spPr>
            <a:solidFill>
              <a:schemeClr val="accent2"/>
            </a:solidFill>
            <a:ln>
              <a:noFill/>
            </a:ln>
            <a:effectLst/>
          </c:spPr>
          <c:invertIfNegative val="0"/>
          <c:cat>
            <c:strRef>
              <c:f>'pivot table'!$E$27:$E$32</c:f>
              <c:strCache>
                <c:ptCount val="5"/>
                <c:pt idx="0">
                  <c:v>Supplier 1</c:v>
                </c:pt>
                <c:pt idx="1">
                  <c:v>Supplier 2</c:v>
                </c:pt>
                <c:pt idx="2">
                  <c:v>Supplier 3</c:v>
                </c:pt>
                <c:pt idx="3">
                  <c:v>Supplier 4</c:v>
                </c:pt>
                <c:pt idx="4">
                  <c:v>Supplier 5</c:v>
                </c:pt>
              </c:strCache>
            </c:strRef>
          </c:cat>
          <c:val>
            <c:numRef>
              <c:f>'pivot table'!$G$27:$G$32</c:f>
              <c:numCache>
                <c:formatCode>General</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1-0FDC-41D0-B5A8-D1917E708CA1}"/>
            </c:ext>
          </c:extLst>
        </c:ser>
        <c:dLbls>
          <c:showLegendKey val="0"/>
          <c:showVal val="0"/>
          <c:showCatName val="0"/>
          <c:showSerName val="0"/>
          <c:showPercent val="0"/>
          <c:showBubbleSize val="0"/>
        </c:dLbls>
        <c:gapWidth val="182"/>
        <c:axId val="397259808"/>
        <c:axId val="397552928"/>
      </c:barChart>
      <c:catAx>
        <c:axId val="3972598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52928"/>
        <c:crosses val="autoZero"/>
        <c:auto val="1"/>
        <c:lblAlgn val="ctr"/>
        <c:lblOffset val="100"/>
        <c:noMultiLvlLbl val="0"/>
      </c:catAx>
      <c:valAx>
        <c:axId val="397552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table'!$J$11</c:f>
              <c:strCache>
                <c:ptCount val="1"/>
                <c:pt idx="0">
                  <c:v>Total</c:v>
                </c:pt>
              </c:strCache>
            </c:strRef>
          </c:tx>
          <c:spPr>
            <a:solidFill>
              <a:schemeClr val="accent1"/>
            </a:solidFill>
            <a:ln>
              <a:noFill/>
            </a:ln>
            <a:effectLst/>
          </c:spPr>
          <c:invertIfNegative val="0"/>
          <c:cat>
            <c:strRef>
              <c:f>'pivot table'!$I$12:$I$17</c:f>
              <c:strCache>
                <c:ptCount val="5"/>
                <c:pt idx="0">
                  <c:v>Supplier 1</c:v>
                </c:pt>
                <c:pt idx="1">
                  <c:v>Supplier 2</c:v>
                </c:pt>
                <c:pt idx="2">
                  <c:v>Supplier 3</c:v>
                </c:pt>
                <c:pt idx="3">
                  <c:v>Supplier 4</c:v>
                </c:pt>
                <c:pt idx="4">
                  <c:v>Supplier 5</c:v>
                </c:pt>
              </c:strCache>
            </c:strRef>
          </c:cat>
          <c:val>
            <c:numRef>
              <c:f>'pivot table'!$J$12:$J$17</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C7AD-4C23-ADE8-8A4CC2CFFA82}"/>
            </c:ext>
          </c:extLst>
        </c:ser>
        <c:dLbls>
          <c:showLegendKey val="0"/>
          <c:showVal val="0"/>
          <c:showCatName val="0"/>
          <c:showSerName val="0"/>
          <c:showPercent val="0"/>
          <c:showBubbleSize val="0"/>
        </c:dLbls>
        <c:gapWidth val="182"/>
        <c:axId val="508209152"/>
        <c:axId val="508217432"/>
      </c:barChart>
      <c:catAx>
        <c:axId val="50820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7432"/>
        <c:crosses val="autoZero"/>
        <c:auto val="1"/>
        <c:lblAlgn val="ctr"/>
        <c:lblOffset val="100"/>
        <c:noMultiLvlLbl val="0"/>
      </c:catAx>
      <c:valAx>
        <c:axId val="508217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table'!$M$11</c:f>
              <c:strCache>
                <c:ptCount val="1"/>
                <c:pt idx="0">
                  <c:v>Average of Shipping costs</c:v>
                </c:pt>
              </c:strCache>
            </c:strRef>
          </c:tx>
          <c:spPr>
            <a:solidFill>
              <a:schemeClr val="accent1"/>
            </a:solidFill>
            <a:ln>
              <a:noFill/>
            </a:ln>
            <a:effectLst/>
          </c:spPr>
          <c:invertIfNegative val="0"/>
          <c:cat>
            <c:strRef>
              <c:f>'pivot table'!$L$12:$L$16</c:f>
              <c:strCache>
                <c:ptCount val="4"/>
                <c:pt idx="0">
                  <c:v>Air</c:v>
                </c:pt>
                <c:pt idx="1">
                  <c:v>Rail</c:v>
                </c:pt>
                <c:pt idx="2">
                  <c:v>Road</c:v>
                </c:pt>
                <c:pt idx="3">
                  <c:v>Sea</c:v>
                </c:pt>
              </c:strCache>
            </c:strRef>
          </c:cat>
          <c:val>
            <c:numRef>
              <c:f>'pivot table'!$M$12:$M$16</c:f>
              <c:numCache>
                <c:formatCode>General</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7EFB-4C35-904B-A3227BF69C04}"/>
            </c:ext>
          </c:extLst>
        </c:ser>
        <c:ser>
          <c:idx val="1"/>
          <c:order val="1"/>
          <c:tx>
            <c:strRef>
              <c:f>'pivot table'!$N$11</c:f>
              <c:strCache>
                <c:ptCount val="1"/>
                <c:pt idx="0">
                  <c:v>Average of Shipping times</c:v>
                </c:pt>
              </c:strCache>
            </c:strRef>
          </c:tx>
          <c:spPr>
            <a:solidFill>
              <a:schemeClr val="accent2"/>
            </a:solidFill>
            <a:ln>
              <a:noFill/>
            </a:ln>
            <a:effectLst/>
          </c:spPr>
          <c:invertIfNegative val="0"/>
          <c:cat>
            <c:strRef>
              <c:f>'pivot table'!$L$12:$L$16</c:f>
              <c:strCache>
                <c:ptCount val="4"/>
                <c:pt idx="0">
                  <c:v>Air</c:v>
                </c:pt>
                <c:pt idx="1">
                  <c:v>Rail</c:v>
                </c:pt>
                <c:pt idx="2">
                  <c:v>Road</c:v>
                </c:pt>
                <c:pt idx="3">
                  <c:v>Sea</c:v>
                </c:pt>
              </c:strCache>
            </c:strRef>
          </c:cat>
          <c:val>
            <c:numRef>
              <c:f>'pivot table'!$N$12:$N$16</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01-7EFB-4C35-904B-A3227BF69C04}"/>
            </c:ext>
          </c:extLst>
        </c:ser>
        <c:dLbls>
          <c:showLegendKey val="0"/>
          <c:showVal val="0"/>
          <c:showCatName val="0"/>
          <c:showSerName val="0"/>
          <c:showPercent val="0"/>
          <c:showBubbleSize val="0"/>
        </c:dLbls>
        <c:gapWidth val="150"/>
        <c:overlap val="100"/>
        <c:axId val="508214912"/>
        <c:axId val="508215992"/>
      </c:barChart>
      <c:catAx>
        <c:axId val="50821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5992"/>
        <c:crosses val="autoZero"/>
        <c:auto val="1"/>
        <c:lblAlgn val="ctr"/>
        <c:lblOffset val="100"/>
        <c:noMultiLvlLbl val="0"/>
      </c:catAx>
      <c:valAx>
        <c:axId val="508215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c:f>
              <c:strCache>
                <c:ptCount val="1"/>
                <c:pt idx="0">
                  <c:v>Total</c:v>
                </c:pt>
              </c:strCache>
            </c:strRef>
          </c:tx>
          <c:spPr>
            <a:solidFill>
              <a:schemeClr val="accent1"/>
            </a:solidFill>
            <a:ln>
              <a:noFill/>
            </a:ln>
            <a:effectLst/>
          </c:spPr>
          <c:invertIfNegative val="0"/>
          <c:cat>
            <c:strRef>
              <c:f>'pivot table'!$E$5:$E$8</c:f>
              <c:strCache>
                <c:ptCount val="3"/>
                <c:pt idx="0">
                  <c:v>cosmetics</c:v>
                </c:pt>
                <c:pt idx="1">
                  <c:v>haircare</c:v>
                </c:pt>
                <c:pt idx="2">
                  <c:v>skincare</c:v>
                </c:pt>
              </c:strCache>
            </c:strRef>
          </c:cat>
          <c:val>
            <c:numRef>
              <c:f>'pivot table'!$F$5:$F$8</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0FD8-4812-B618-EB1158C087F1}"/>
            </c:ext>
          </c:extLst>
        </c:ser>
        <c:dLbls>
          <c:showLegendKey val="0"/>
          <c:showVal val="0"/>
          <c:showCatName val="0"/>
          <c:showSerName val="0"/>
          <c:showPercent val="0"/>
          <c:showBubbleSize val="0"/>
        </c:dLbls>
        <c:gapWidth val="219"/>
        <c:overlap val="-27"/>
        <c:axId val="400550568"/>
        <c:axId val="400530768"/>
      </c:barChart>
      <c:catAx>
        <c:axId val="40055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30768"/>
        <c:crosses val="autoZero"/>
        <c:auto val="1"/>
        <c:lblAlgn val="ctr"/>
        <c:lblOffset val="100"/>
        <c:noMultiLvlLbl val="0"/>
      </c:catAx>
      <c:valAx>
        <c:axId val="40053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50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table'!$J$29</c:f>
              <c:strCache>
                <c:ptCount val="1"/>
                <c:pt idx="0">
                  <c:v>Total</c:v>
                </c:pt>
              </c:strCache>
            </c:strRef>
          </c:tx>
          <c:spPr>
            <a:solidFill>
              <a:schemeClr val="accent1"/>
            </a:solidFill>
            <a:ln>
              <a:noFill/>
            </a:ln>
            <a:effectLst/>
          </c:spPr>
          <c:invertIfNegative val="0"/>
          <c:cat>
            <c:strRef>
              <c:f>'pivot table'!$I$30:$I$35</c:f>
              <c:strCache>
                <c:ptCount val="5"/>
                <c:pt idx="0">
                  <c:v>Bangalore</c:v>
                </c:pt>
                <c:pt idx="1">
                  <c:v>Chennai</c:v>
                </c:pt>
                <c:pt idx="2">
                  <c:v>Delhi</c:v>
                </c:pt>
                <c:pt idx="3">
                  <c:v>Kolkata</c:v>
                </c:pt>
                <c:pt idx="4">
                  <c:v>Mumbai</c:v>
                </c:pt>
              </c:strCache>
            </c:strRef>
          </c:cat>
          <c:val>
            <c:numRef>
              <c:f>'pivot table'!$J$30:$J$35</c:f>
              <c:numCache>
                <c:formatCode>General</c:formatCode>
                <c:ptCount val="5"/>
                <c:pt idx="0">
                  <c:v>102601.72388223567</c:v>
                </c:pt>
                <c:pt idx="1">
                  <c:v>119142.8157480693</c:v>
                </c:pt>
                <c:pt idx="2">
                  <c:v>81027.701224852935</c:v>
                </c:pt>
                <c:pt idx="3">
                  <c:v>137077.55100538101</c:v>
                </c:pt>
                <c:pt idx="4">
                  <c:v>137755.02687746932</c:v>
                </c:pt>
              </c:numCache>
            </c:numRef>
          </c:val>
          <c:extLst>
            <c:ext xmlns:c16="http://schemas.microsoft.com/office/drawing/2014/chart" uri="{C3380CC4-5D6E-409C-BE32-E72D297353CC}">
              <c16:uniqueId val="{00000000-3A42-4825-A5A3-087A67739EDA}"/>
            </c:ext>
          </c:extLst>
        </c:ser>
        <c:dLbls>
          <c:showLegendKey val="0"/>
          <c:showVal val="0"/>
          <c:showCatName val="0"/>
          <c:showSerName val="0"/>
          <c:showPercent val="0"/>
          <c:showBubbleSize val="0"/>
        </c:dLbls>
        <c:gapWidth val="182"/>
        <c:axId val="526927400"/>
        <c:axId val="526924880"/>
      </c:barChart>
      <c:catAx>
        <c:axId val="526927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880"/>
        <c:crosses val="autoZero"/>
        <c:auto val="1"/>
        <c:lblAlgn val="ctr"/>
        <c:lblOffset val="100"/>
        <c:noMultiLvlLbl val="0"/>
      </c:catAx>
      <c:valAx>
        <c:axId val="526924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7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table'!$J$11</c:f>
              <c:strCache>
                <c:ptCount val="1"/>
                <c:pt idx="0">
                  <c:v>Total</c:v>
                </c:pt>
              </c:strCache>
            </c:strRef>
          </c:tx>
          <c:spPr>
            <a:solidFill>
              <a:schemeClr val="accent1"/>
            </a:solidFill>
            <a:ln>
              <a:noFill/>
            </a:ln>
            <a:effectLst/>
          </c:spPr>
          <c:invertIfNegative val="0"/>
          <c:cat>
            <c:strRef>
              <c:f>'pivot table'!$I$12:$I$17</c:f>
              <c:strCache>
                <c:ptCount val="5"/>
                <c:pt idx="0">
                  <c:v>Supplier 1</c:v>
                </c:pt>
                <c:pt idx="1">
                  <c:v>Supplier 2</c:v>
                </c:pt>
                <c:pt idx="2">
                  <c:v>Supplier 3</c:v>
                </c:pt>
                <c:pt idx="3">
                  <c:v>Supplier 4</c:v>
                </c:pt>
                <c:pt idx="4">
                  <c:v>Supplier 5</c:v>
                </c:pt>
              </c:strCache>
            </c:strRef>
          </c:cat>
          <c:val>
            <c:numRef>
              <c:f>'pivot table'!$J$12:$J$17</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F346-4683-ABB9-FDDFB47F69BD}"/>
            </c:ext>
          </c:extLst>
        </c:ser>
        <c:dLbls>
          <c:showLegendKey val="0"/>
          <c:showVal val="0"/>
          <c:showCatName val="0"/>
          <c:showSerName val="0"/>
          <c:showPercent val="0"/>
          <c:showBubbleSize val="0"/>
        </c:dLbls>
        <c:gapWidth val="182"/>
        <c:axId val="508209152"/>
        <c:axId val="508217432"/>
      </c:barChart>
      <c:catAx>
        <c:axId val="50820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7432"/>
        <c:crosses val="autoZero"/>
        <c:auto val="1"/>
        <c:lblAlgn val="ctr"/>
        <c:lblOffset val="100"/>
        <c:noMultiLvlLbl val="0"/>
      </c:catAx>
      <c:valAx>
        <c:axId val="508217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table!PivotTable10</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91-40B4-8D85-2F53B4A792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91-40B4-8D85-2F53B4A792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91-40B4-8D85-2F53B4A792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91-40B4-8D85-2F53B4A79241}"/>
              </c:ext>
            </c:extLst>
          </c:dPt>
          <c:cat>
            <c:strRef>
              <c:f>'pivot table'!$E$19:$E$23</c:f>
              <c:strCache>
                <c:ptCount val="4"/>
                <c:pt idx="0">
                  <c:v>Female</c:v>
                </c:pt>
                <c:pt idx="1">
                  <c:v>Male</c:v>
                </c:pt>
                <c:pt idx="2">
                  <c:v>Non-binary</c:v>
                </c:pt>
                <c:pt idx="3">
                  <c:v>Unknown</c:v>
                </c:pt>
              </c:strCache>
            </c:strRef>
          </c:cat>
          <c:val>
            <c:numRef>
              <c:f>'pivot table'!$F$19:$F$23</c:f>
              <c:numCache>
                <c:formatCode>General</c:formatCode>
                <c:ptCount val="4"/>
                <c:pt idx="0">
                  <c:v>161514.48912163053</c:v>
                </c:pt>
                <c:pt idx="1">
                  <c:v>126634.3942597939</c:v>
                </c:pt>
                <c:pt idx="2">
                  <c:v>116365.80151960922</c:v>
                </c:pt>
                <c:pt idx="3">
                  <c:v>173090.13383697456</c:v>
                </c:pt>
              </c:numCache>
            </c:numRef>
          </c:val>
          <c:extLst>
            <c:ext xmlns:c16="http://schemas.microsoft.com/office/drawing/2014/chart" uri="{C3380CC4-5D6E-409C-BE32-E72D297353CC}">
              <c16:uniqueId val="{00000008-5F91-40B4-8D85-2F53B4A792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table'!$F$26</c:f>
              <c:strCache>
                <c:ptCount val="1"/>
                <c:pt idx="0">
                  <c:v>Sum of Revenue generated</c:v>
                </c:pt>
              </c:strCache>
            </c:strRef>
          </c:tx>
          <c:spPr>
            <a:solidFill>
              <a:schemeClr val="accent1"/>
            </a:solidFill>
            <a:ln>
              <a:noFill/>
            </a:ln>
            <a:effectLst/>
          </c:spPr>
          <c:invertIfNegative val="0"/>
          <c:cat>
            <c:strRef>
              <c:f>'pivot table'!$E$27:$E$32</c:f>
              <c:strCache>
                <c:ptCount val="5"/>
                <c:pt idx="0">
                  <c:v>Supplier 1</c:v>
                </c:pt>
                <c:pt idx="1">
                  <c:v>Supplier 2</c:v>
                </c:pt>
                <c:pt idx="2">
                  <c:v>Supplier 3</c:v>
                </c:pt>
                <c:pt idx="3">
                  <c:v>Supplier 4</c:v>
                </c:pt>
                <c:pt idx="4">
                  <c:v>Supplier 5</c:v>
                </c:pt>
              </c:strCache>
            </c:strRef>
          </c:cat>
          <c:val>
            <c:numRef>
              <c:f>'pivot table'!$F$27:$F$32</c:f>
              <c:numCache>
                <c:formatCode>General</c:formatCode>
                <c:ptCount val="5"/>
                <c:pt idx="0">
                  <c:v>157528.99503945635</c:v>
                </c:pt>
                <c:pt idx="1">
                  <c:v>125467.41860530026</c:v>
                </c:pt>
                <c:pt idx="2">
                  <c:v>97795.979638162171</c:v>
                </c:pt>
                <c:pt idx="3">
                  <c:v>86468.961798802658</c:v>
                </c:pt>
                <c:pt idx="4">
                  <c:v>110343.46365628684</c:v>
                </c:pt>
              </c:numCache>
            </c:numRef>
          </c:val>
          <c:extLst>
            <c:ext xmlns:c16="http://schemas.microsoft.com/office/drawing/2014/chart" uri="{C3380CC4-5D6E-409C-BE32-E72D297353CC}">
              <c16:uniqueId val="{00000000-A41B-4A40-B0E6-C85F9D8D6E19}"/>
            </c:ext>
          </c:extLst>
        </c:ser>
        <c:ser>
          <c:idx val="1"/>
          <c:order val="1"/>
          <c:tx>
            <c:strRef>
              <c:f>'pivot table'!$G$26</c:f>
              <c:strCache>
                <c:ptCount val="1"/>
                <c:pt idx="0">
                  <c:v>Average of Lead times</c:v>
                </c:pt>
              </c:strCache>
            </c:strRef>
          </c:tx>
          <c:spPr>
            <a:solidFill>
              <a:schemeClr val="accent2"/>
            </a:solidFill>
            <a:ln>
              <a:noFill/>
            </a:ln>
            <a:effectLst/>
          </c:spPr>
          <c:invertIfNegative val="0"/>
          <c:cat>
            <c:strRef>
              <c:f>'pivot table'!$E$27:$E$32</c:f>
              <c:strCache>
                <c:ptCount val="5"/>
                <c:pt idx="0">
                  <c:v>Supplier 1</c:v>
                </c:pt>
                <c:pt idx="1">
                  <c:v>Supplier 2</c:v>
                </c:pt>
                <c:pt idx="2">
                  <c:v>Supplier 3</c:v>
                </c:pt>
                <c:pt idx="3">
                  <c:v>Supplier 4</c:v>
                </c:pt>
                <c:pt idx="4">
                  <c:v>Supplier 5</c:v>
                </c:pt>
              </c:strCache>
            </c:strRef>
          </c:cat>
          <c:val>
            <c:numRef>
              <c:f>'pivot table'!$G$27:$G$32</c:f>
              <c:numCache>
                <c:formatCode>General</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1-A41B-4A40-B0E6-C85F9D8D6E19}"/>
            </c:ext>
          </c:extLst>
        </c:ser>
        <c:dLbls>
          <c:showLegendKey val="0"/>
          <c:showVal val="0"/>
          <c:showCatName val="0"/>
          <c:showSerName val="0"/>
          <c:showPercent val="0"/>
          <c:showBubbleSize val="0"/>
        </c:dLbls>
        <c:gapWidth val="182"/>
        <c:axId val="397259808"/>
        <c:axId val="397552928"/>
      </c:barChart>
      <c:catAx>
        <c:axId val="3972598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52928"/>
        <c:crosses val="autoZero"/>
        <c:auto val="1"/>
        <c:lblAlgn val="ctr"/>
        <c:lblOffset val="100"/>
        <c:noMultiLvlLbl val="0"/>
      </c:catAx>
      <c:valAx>
        <c:axId val="397552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table'!$M$11</c:f>
              <c:strCache>
                <c:ptCount val="1"/>
                <c:pt idx="0">
                  <c:v>Average of Shipping costs</c:v>
                </c:pt>
              </c:strCache>
            </c:strRef>
          </c:tx>
          <c:spPr>
            <a:solidFill>
              <a:schemeClr val="accent1"/>
            </a:solidFill>
            <a:ln>
              <a:noFill/>
            </a:ln>
            <a:effectLst/>
          </c:spPr>
          <c:invertIfNegative val="0"/>
          <c:cat>
            <c:strRef>
              <c:f>'pivot table'!$L$12:$L$16</c:f>
              <c:strCache>
                <c:ptCount val="4"/>
                <c:pt idx="0">
                  <c:v>Air</c:v>
                </c:pt>
                <c:pt idx="1">
                  <c:v>Rail</c:v>
                </c:pt>
                <c:pt idx="2">
                  <c:v>Road</c:v>
                </c:pt>
                <c:pt idx="3">
                  <c:v>Sea</c:v>
                </c:pt>
              </c:strCache>
            </c:strRef>
          </c:cat>
          <c:val>
            <c:numRef>
              <c:f>'pivot table'!$M$12:$M$16</c:f>
              <c:numCache>
                <c:formatCode>General</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AEA5-4580-BB95-F06DD07F9217}"/>
            </c:ext>
          </c:extLst>
        </c:ser>
        <c:ser>
          <c:idx val="1"/>
          <c:order val="1"/>
          <c:tx>
            <c:strRef>
              <c:f>'pivot table'!$N$11</c:f>
              <c:strCache>
                <c:ptCount val="1"/>
                <c:pt idx="0">
                  <c:v>Average of Shipping times</c:v>
                </c:pt>
              </c:strCache>
            </c:strRef>
          </c:tx>
          <c:spPr>
            <a:solidFill>
              <a:schemeClr val="accent2"/>
            </a:solidFill>
            <a:ln>
              <a:noFill/>
            </a:ln>
            <a:effectLst/>
          </c:spPr>
          <c:invertIfNegative val="0"/>
          <c:cat>
            <c:strRef>
              <c:f>'pivot table'!$L$12:$L$16</c:f>
              <c:strCache>
                <c:ptCount val="4"/>
                <c:pt idx="0">
                  <c:v>Air</c:v>
                </c:pt>
                <c:pt idx="1">
                  <c:v>Rail</c:v>
                </c:pt>
                <c:pt idx="2">
                  <c:v>Road</c:v>
                </c:pt>
                <c:pt idx="3">
                  <c:v>Sea</c:v>
                </c:pt>
              </c:strCache>
            </c:strRef>
          </c:cat>
          <c:val>
            <c:numRef>
              <c:f>'pivot table'!$N$12:$N$16</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01-AEA5-4580-BB95-F06DD07F9217}"/>
            </c:ext>
          </c:extLst>
        </c:ser>
        <c:dLbls>
          <c:showLegendKey val="0"/>
          <c:showVal val="0"/>
          <c:showCatName val="0"/>
          <c:showSerName val="0"/>
          <c:showPercent val="0"/>
          <c:showBubbleSize val="0"/>
        </c:dLbls>
        <c:gapWidth val="150"/>
        <c:overlap val="100"/>
        <c:axId val="508214912"/>
        <c:axId val="508215992"/>
      </c:barChart>
      <c:catAx>
        <c:axId val="50821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5992"/>
        <c:crosses val="autoZero"/>
        <c:auto val="1"/>
        <c:lblAlgn val="ctr"/>
        <c:lblOffset val="100"/>
        <c:noMultiLvlLbl val="0"/>
      </c:catAx>
      <c:valAx>
        <c:axId val="508215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c:f>
              <c:strCache>
                <c:ptCount val="1"/>
                <c:pt idx="0">
                  <c:v>Total</c:v>
                </c:pt>
              </c:strCache>
            </c:strRef>
          </c:tx>
          <c:spPr>
            <a:solidFill>
              <a:schemeClr val="accent1"/>
            </a:solidFill>
            <a:ln>
              <a:noFill/>
            </a:ln>
            <a:effectLst/>
          </c:spPr>
          <c:invertIfNegative val="0"/>
          <c:cat>
            <c:strRef>
              <c:f>'pivot table'!$E$5:$E$8</c:f>
              <c:strCache>
                <c:ptCount val="3"/>
                <c:pt idx="0">
                  <c:v>cosmetics</c:v>
                </c:pt>
                <c:pt idx="1">
                  <c:v>haircare</c:v>
                </c:pt>
                <c:pt idx="2">
                  <c:v>skincare</c:v>
                </c:pt>
              </c:strCache>
            </c:strRef>
          </c:cat>
          <c:val>
            <c:numRef>
              <c:f>'pivot table'!$F$5:$F$8</c:f>
              <c:numCache>
                <c:formatCode>General</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5767-4A03-8418-E3B5B51BB366}"/>
            </c:ext>
          </c:extLst>
        </c:ser>
        <c:dLbls>
          <c:showLegendKey val="0"/>
          <c:showVal val="0"/>
          <c:showCatName val="0"/>
          <c:showSerName val="0"/>
          <c:showPercent val="0"/>
          <c:showBubbleSize val="0"/>
        </c:dLbls>
        <c:gapWidth val="219"/>
        <c:overlap val="-27"/>
        <c:axId val="400550568"/>
        <c:axId val="400530768"/>
      </c:barChart>
      <c:catAx>
        <c:axId val="40055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30768"/>
        <c:crosses val="autoZero"/>
        <c:auto val="1"/>
        <c:lblAlgn val="ctr"/>
        <c:lblOffset val="100"/>
        <c:noMultiLvlLbl val="0"/>
      </c:catAx>
      <c:valAx>
        <c:axId val="40053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550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table'!$J$29</c:f>
              <c:strCache>
                <c:ptCount val="1"/>
                <c:pt idx="0">
                  <c:v>Total</c:v>
                </c:pt>
              </c:strCache>
            </c:strRef>
          </c:tx>
          <c:spPr>
            <a:solidFill>
              <a:schemeClr val="accent1"/>
            </a:solidFill>
            <a:ln>
              <a:noFill/>
            </a:ln>
            <a:effectLst/>
          </c:spPr>
          <c:invertIfNegative val="0"/>
          <c:cat>
            <c:strRef>
              <c:f>'pivot table'!$I$30:$I$35</c:f>
              <c:strCache>
                <c:ptCount val="5"/>
                <c:pt idx="0">
                  <c:v>Bangalore</c:v>
                </c:pt>
                <c:pt idx="1">
                  <c:v>Chennai</c:v>
                </c:pt>
                <c:pt idx="2">
                  <c:v>Delhi</c:v>
                </c:pt>
                <c:pt idx="3">
                  <c:v>Kolkata</c:v>
                </c:pt>
                <c:pt idx="4">
                  <c:v>Mumbai</c:v>
                </c:pt>
              </c:strCache>
            </c:strRef>
          </c:cat>
          <c:val>
            <c:numRef>
              <c:f>'pivot table'!$J$30:$J$35</c:f>
              <c:numCache>
                <c:formatCode>General</c:formatCode>
                <c:ptCount val="5"/>
                <c:pt idx="0">
                  <c:v>102601.72388223567</c:v>
                </c:pt>
                <c:pt idx="1">
                  <c:v>119142.8157480693</c:v>
                </c:pt>
                <c:pt idx="2">
                  <c:v>81027.701224852935</c:v>
                </c:pt>
                <c:pt idx="3">
                  <c:v>137077.55100538101</c:v>
                </c:pt>
                <c:pt idx="4">
                  <c:v>137755.02687746932</c:v>
                </c:pt>
              </c:numCache>
            </c:numRef>
          </c:val>
          <c:extLst>
            <c:ext xmlns:c16="http://schemas.microsoft.com/office/drawing/2014/chart" uri="{C3380CC4-5D6E-409C-BE32-E72D297353CC}">
              <c16:uniqueId val="{00000000-A34F-4BC3-A1DE-A2A2CA1308E4}"/>
            </c:ext>
          </c:extLst>
        </c:ser>
        <c:dLbls>
          <c:showLegendKey val="0"/>
          <c:showVal val="0"/>
          <c:showCatName val="0"/>
          <c:showSerName val="0"/>
          <c:showPercent val="0"/>
          <c:showBubbleSize val="0"/>
        </c:dLbls>
        <c:gapWidth val="182"/>
        <c:axId val="526927400"/>
        <c:axId val="526924880"/>
      </c:barChart>
      <c:catAx>
        <c:axId val="526927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4880"/>
        <c:crosses val="autoZero"/>
        <c:auto val="1"/>
        <c:lblAlgn val="ctr"/>
        <c:lblOffset val="100"/>
        <c:noMultiLvlLbl val="0"/>
      </c:catAx>
      <c:valAx>
        <c:axId val="526924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27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04-4312-BCF2-E61D1B5F16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04-4312-BCF2-E61D1B5F16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04-4312-BCF2-E61D1B5F16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04-4312-BCF2-E61D1B5F1683}"/>
              </c:ext>
            </c:extLst>
          </c:dPt>
          <c:cat>
            <c:strRef>
              <c:f>'pivot table'!$E$19:$E$23</c:f>
              <c:strCache>
                <c:ptCount val="4"/>
                <c:pt idx="0">
                  <c:v>Female</c:v>
                </c:pt>
                <c:pt idx="1">
                  <c:v>Male</c:v>
                </c:pt>
                <c:pt idx="2">
                  <c:v>Non-binary</c:v>
                </c:pt>
                <c:pt idx="3">
                  <c:v>Unknown</c:v>
                </c:pt>
              </c:strCache>
            </c:strRef>
          </c:cat>
          <c:val>
            <c:numRef>
              <c:f>'pivot table'!$F$19:$F$23</c:f>
              <c:numCache>
                <c:formatCode>General</c:formatCode>
                <c:ptCount val="4"/>
                <c:pt idx="0">
                  <c:v>161514.48912163053</c:v>
                </c:pt>
                <c:pt idx="1">
                  <c:v>126634.3942597939</c:v>
                </c:pt>
                <c:pt idx="2">
                  <c:v>116365.80151960922</c:v>
                </c:pt>
                <c:pt idx="3">
                  <c:v>173090.13383697456</c:v>
                </c:pt>
              </c:numCache>
            </c:numRef>
          </c:val>
          <c:extLst>
            <c:ext xmlns:c16="http://schemas.microsoft.com/office/drawing/2014/chart" uri="{C3380CC4-5D6E-409C-BE32-E72D297353CC}">
              <c16:uniqueId val="{00000008-C704-4312-BCF2-E61D1B5F16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table'!$F$26</c:f>
              <c:strCache>
                <c:ptCount val="1"/>
                <c:pt idx="0">
                  <c:v>Sum of Revenue generated</c:v>
                </c:pt>
              </c:strCache>
            </c:strRef>
          </c:tx>
          <c:spPr>
            <a:solidFill>
              <a:schemeClr val="accent1"/>
            </a:solidFill>
            <a:ln>
              <a:noFill/>
            </a:ln>
            <a:effectLst/>
          </c:spPr>
          <c:invertIfNegative val="0"/>
          <c:cat>
            <c:strRef>
              <c:f>'pivot table'!$E$27:$E$32</c:f>
              <c:strCache>
                <c:ptCount val="5"/>
                <c:pt idx="0">
                  <c:v>Supplier 1</c:v>
                </c:pt>
                <c:pt idx="1">
                  <c:v>Supplier 2</c:v>
                </c:pt>
                <c:pt idx="2">
                  <c:v>Supplier 3</c:v>
                </c:pt>
                <c:pt idx="3">
                  <c:v>Supplier 4</c:v>
                </c:pt>
                <c:pt idx="4">
                  <c:v>Supplier 5</c:v>
                </c:pt>
              </c:strCache>
            </c:strRef>
          </c:cat>
          <c:val>
            <c:numRef>
              <c:f>'pivot table'!$F$27:$F$32</c:f>
              <c:numCache>
                <c:formatCode>General</c:formatCode>
                <c:ptCount val="5"/>
                <c:pt idx="0">
                  <c:v>157528.99503945635</c:v>
                </c:pt>
                <c:pt idx="1">
                  <c:v>125467.41860530026</c:v>
                </c:pt>
                <c:pt idx="2">
                  <c:v>97795.979638162171</c:v>
                </c:pt>
                <c:pt idx="3">
                  <c:v>86468.961798802658</c:v>
                </c:pt>
                <c:pt idx="4">
                  <c:v>110343.46365628684</c:v>
                </c:pt>
              </c:numCache>
            </c:numRef>
          </c:val>
          <c:extLst>
            <c:ext xmlns:c16="http://schemas.microsoft.com/office/drawing/2014/chart" uri="{C3380CC4-5D6E-409C-BE32-E72D297353CC}">
              <c16:uniqueId val="{00000000-C1CD-4F8A-ABD9-0F8E09449B1A}"/>
            </c:ext>
          </c:extLst>
        </c:ser>
        <c:ser>
          <c:idx val="1"/>
          <c:order val="1"/>
          <c:tx>
            <c:strRef>
              <c:f>'pivot table'!$G$26</c:f>
              <c:strCache>
                <c:ptCount val="1"/>
                <c:pt idx="0">
                  <c:v>Average of Lead times</c:v>
                </c:pt>
              </c:strCache>
            </c:strRef>
          </c:tx>
          <c:spPr>
            <a:solidFill>
              <a:schemeClr val="accent2"/>
            </a:solidFill>
            <a:ln>
              <a:noFill/>
            </a:ln>
            <a:effectLst/>
          </c:spPr>
          <c:invertIfNegative val="0"/>
          <c:cat>
            <c:strRef>
              <c:f>'pivot table'!$E$27:$E$32</c:f>
              <c:strCache>
                <c:ptCount val="5"/>
                <c:pt idx="0">
                  <c:v>Supplier 1</c:v>
                </c:pt>
                <c:pt idx="1">
                  <c:v>Supplier 2</c:v>
                </c:pt>
                <c:pt idx="2">
                  <c:v>Supplier 3</c:v>
                </c:pt>
                <c:pt idx="3">
                  <c:v>Supplier 4</c:v>
                </c:pt>
                <c:pt idx="4">
                  <c:v>Supplier 5</c:v>
                </c:pt>
              </c:strCache>
            </c:strRef>
          </c:cat>
          <c:val>
            <c:numRef>
              <c:f>'pivot table'!$G$27:$G$32</c:f>
              <c:numCache>
                <c:formatCode>General</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1-C1CD-4F8A-ABD9-0F8E09449B1A}"/>
            </c:ext>
          </c:extLst>
        </c:ser>
        <c:dLbls>
          <c:showLegendKey val="0"/>
          <c:showVal val="0"/>
          <c:showCatName val="0"/>
          <c:showSerName val="0"/>
          <c:showPercent val="0"/>
          <c:showBubbleSize val="0"/>
        </c:dLbls>
        <c:gapWidth val="182"/>
        <c:axId val="397259808"/>
        <c:axId val="397552928"/>
      </c:barChart>
      <c:catAx>
        <c:axId val="3972598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52928"/>
        <c:crosses val="autoZero"/>
        <c:auto val="1"/>
        <c:lblAlgn val="ctr"/>
        <c:lblOffset val="100"/>
        <c:noMultiLvlLbl val="0"/>
      </c:catAx>
      <c:valAx>
        <c:axId val="397552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5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table!PivotTable13</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table'!$J$11</c:f>
              <c:strCache>
                <c:ptCount val="1"/>
                <c:pt idx="0">
                  <c:v>Total</c:v>
                </c:pt>
              </c:strCache>
            </c:strRef>
          </c:tx>
          <c:spPr>
            <a:solidFill>
              <a:schemeClr val="accent1"/>
            </a:solidFill>
            <a:ln>
              <a:noFill/>
            </a:ln>
            <a:effectLst/>
          </c:spPr>
          <c:invertIfNegative val="0"/>
          <c:cat>
            <c:strRef>
              <c:f>'pivot table'!$I$12:$I$17</c:f>
              <c:strCache>
                <c:ptCount val="5"/>
                <c:pt idx="0">
                  <c:v>Supplier 1</c:v>
                </c:pt>
                <c:pt idx="1">
                  <c:v>Supplier 2</c:v>
                </c:pt>
                <c:pt idx="2">
                  <c:v>Supplier 3</c:v>
                </c:pt>
                <c:pt idx="3">
                  <c:v>Supplier 4</c:v>
                </c:pt>
                <c:pt idx="4">
                  <c:v>Supplier 5</c:v>
                </c:pt>
              </c:strCache>
            </c:strRef>
          </c:cat>
          <c:val>
            <c:numRef>
              <c:f>'pivot table'!$J$12:$J$17</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E84C-4D89-A91A-4AE2C5B4BB41}"/>
            </c:ext>
          </c:extLst>
        </c:ser>
        <c:dLbls>
          <c:showLegendKey val="0"/>
          <c:showVal val="0"/>
          <c:showCatName val="0"/>
          <c:showSerName val="0"/>
          <c:showPercent val="0"/>
          <c:showBubbleSize val="0"/>
        </c:dLbls>
        <c:gapWidth val="182"/>
        <c:axId val="508209152"/>
        <c:axId val="508217432"/>
      </c:barChart>
      <c:catAx>
        <c:axId val="50820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7432"/>
        <c:crosses val="autoZero"/>
        <c:auto val="1"/>
        <c:lblAlgn val="ctr"/>
        <c:lblOffset val="100"/>
        <c:noMultiLvlLbl val="0"/>
      </c:catAx>
      <c:valAx>
        <c:axId val="508217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 Dashboard.xlsx]pivot table!PivotTable17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table'!$M$11</c:f>
              <c:strCache>
                <c:ptCount val="1"/>
                <c:pt idx="0">
                  <c:v>Average of Shipping costs</c:v>
                </c:pt>
              </c:strCache>
            </c:strRef>
          </c:tx>
          <c:spPr>
            <a:solidFill>
              <a:schemeClr val="accent1"/>
            </a:solidFill>
            <a:ln>
              <a:noFill/>
            </a:ln>
            <a:effectLst/>
          </c:spPr>
          <c:invertIfNegative val="0"/>
          <c:cat>
            <c:strRef>
              <c:f>'pivot table'!$L$12:$L$16</c:f>
              <c:strCache>
                <c:ptCount val="4"/>
                <c:pt idx="0">
                  <c:v>Air</c:v>
                </c:pt>
                <c:pt idx="1">
                  <c:v>Rail</c:v>
                </c:pt>
                <c:pt idx="2">
                  <c:v>Road</c:v>
                </c:pt>
                <c:pt idx="3">
                  <c:v>Sea</c:v>
                </c:pt>
              </c:strCache>
            </c:strRef>
          </c:cat>
          <c:val>
            <c:numRef>
              <c:f>'pivot table'!$M$12:$M$16</c:f>
              <c:numCache>
                <c:formatCode>General</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2F0B-4023-8FAC-562431957867}"/>
            </c:ext>
          </c:extLst>
        </c:ser>
        <c:ser>
          <c:idx val="1"/>
          <c:order val="1"/>
          <c:tx>
            <c:strRef>
              <c:f>'pivot table'!$N$11</c:f>
              <c:strCache>
                <c:ptCount val="1"/>
                <c:pt idx="0">
                  <c:v>Average of Shipping times</c:v>
                </c:pt>
              </c:strCache>
            </c:strRef>
          </c:tx>
          <c:spPr>
            <a:solidFill>
              <a:schemeClr val="accent2"/>
            </a:solidFill>
            <a:ln>
              <a:noFill/>
            </a:ln>
            <a:effectLst/>
          </c:spPr>
          <c:invertIfNegative val="0"/>
          <c:cat>
            <c:strRef>
              <c:f>'pivot table'!$L$12:$L$16</c:f>
              <c:strCache>
                <c:ptCount val="4"/>
                <c:pt idx="0">
                  <c:v>Air</c:v>
                </c:pt>
                <c:pt idx="1">
                  <c:v>Rail</c:v>
                </c:pt>
                <c:pt idx="2">
                  <c:v>Road</c:v>
                </c:pt>
                <c:pt idx="3">
                  <c:v>Sea</c:v>
                </c:pt>
              </c:strCache>
            </c:strRef>
          </c:cat>
          <c:val>
            <c:numRef>
              <c:f>'pivot table'!$N$12:$N$16</c:f>
              <c:numCache>
                <c:formatCode>General</c:formatCode>
                <c:ptCount val="4"/>
                <c:pt idx="0">
                  <c:v>5.115384615384615</c:v>
                </c:pt>
                <c:pt idx="1">
                  <c:v>6.5714285714285712</c:v>
                </c:pt>
                <c:pt idx="2">
                  <c:v>4.7241379310344831</c:v>
                </c:pt>
                <c:pt idx="3">
                  <c:v>7.117647058823529</c:v>
                </c:pt>
              </c:numCache>
            </c:numRef>
          </c:val>
          <c:extLst>
            <c:ext xmlns:c16="http://schemas.microsoft.com/office/drawing/2014/chart" uri="{C3380CC4-5D6E-409C-BE32-E72D297353CC}">
              <c16:uniqueId val="{00000001-2F0B-4023-8FAC-562431957867}"/>
            </c:ext>
          </c:extLst>
        </c:ser>
        <c:dLbls>
          <c:showLegendKey val="0"/>
          <c:showVal val="0"/>
          <c:showCatName val="0"/>
          <c:showSerName val="0"/>
          <c:showPercent val="0"/>
          <c:showBubbleSize val="0"/>
        </c:dLbls>
        <c:gapWidth val="150"/>
        <c:overlap val="100"/>
        <c:axId val="508214912"/>
        <c:axId val="508215992"/>
      </c:barChart>
      <c:catAx>
        <c:axId val="50821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5992"/>
        <c:crosses val="autoZero"/>
        <c:auto val="1"/>
        <c:lblAlgn val="ctr"/>
        <c:lblOffset val="100"/>
        <c:noMultiLvlLbl val="0"/>
      </c:catAx>
      <c:valAx>
        <c:axId val="508215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214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jpeg"/><Relationship Id="rId3" Type="http://schemas.openxmlformats.org/officeDocument/2006/relationships/chart" Target="../charts/chart9.xml"/><Relationship Id="rId7" Type="http://schemas.openxmlformats.org/officeDocument/2006/relationships/hyperlink" Target="#supply_chain_data!A1"/><Relationship Id="rId12" Type="http://schemas.openxmlformats.org/officeDocument/2006/relationships/image" Target="../media/image4.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5" Type="http://schemas.openxmlformats.org/officeDocument/2006/relationships/image" Target="../media/image7.png"/><Relationship Id="rId10" Type="http://schemas.openxmlformats.org/officeDocument/2006/relationships/image" Target="../media/image2.jpeg"/><Relationship Id="rId4" Type="http://schemas.openxmlformats.org/officeDocument/2006/relationships/chart" Target="../charts/chart10.xml"/><Relationship Id="rId9" Type="http://schemas.openxmlformats.org/officeDocument/2006/relationships/hyperlink" Target="#'pivot table'!A1"/><Relationship Id="rId1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106680</xdr:colOff>
      <xdr:row>17</xdr:row>
      <xdr:rowOff>160020</xdr:rowOff>
    </xdr:from>
    <xdr:to>
      <xdr:col>1</xdr:col>
      <xdr:colOff>739140</xdr:colOff>
      <xdr:row>25</xdr:row>
      <xdr:rowOff>0</xdr:rowOff>
    </xdr:to>
    <xdr:graphicFrame macro="">
      <xdr:nvGraphicFramePr>
        <xdr:cNvPr id="3" name="Chart 2">
          <a:extLst>
            <a:ext uri="{FF2B5EF4-FFF2-40B4-BE49-F238E27FC236}">
              <a16:creationId xmlns:a16="http://schemas.microsoft.com/office/drawing/2014/main" id="{07351EAE-7CFA-9C4B-ACF0-8F5B98474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914400</xdr:colOff>
      <xdr:row>17</xdr:row>
      <xdr:rowOff>137160</xdr:rowOff>
    </xdr:from>
    <xdr:to>
      <xdr:col>3</xdr:col>
      <xdr:colOff>1066800</xdr:colOff>
      <xdr:row>27</xdr:row>
      <xdr:rowOff>38100</xdr:rowOff>
    </xdr:to>
    <xdr:graphicFrame macro="">
      <xdr:nvGraphicFramePr>
        <xdr:cNvPr id="4" name="Chart 3">
          <a:extLst>
            <a:ext uri="{FF2B5EF4-FFF2-40B4-BE49-F238E27FC236}">
              <a16:creationId xmlns:a16="http://schemas.microsoft.com/office/drawing/2014/main" id="{B5BD7072-DD3E-F49D-2538-6A6211D65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25</xdr:row>
      <xdr:rowOff>99060</xdr:rowOff>
    </xdr:from>
    <xdr:to>
      <xdr:col>1</xdr:col>
      <xdr:colOff>868680</xdr:colOff>
      <xdr:row>33</xdr:row>
      <xdr:rowOff>106680</xdr:rowOff>
    </xdr:to>
    <xdr:graphicFrame macro="">
      <xdr:nvGraphicFramePr>
        <xdr:cNvPr id="5" name="Chart 4">
          <a:extLst>
            <a:ext uri="{FF2B5EF4-FFF2-40B4-BE49-F238E27FC236}">
              <a16:creationId xmlns:a16="http://schemas.microsoft.com/office/drawing/2014/main" id="{A0F3B00C-86DD-568F-9677-D1C697943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1005840</xdr:colOff>
      <xdr:row>27</xdr:row>
      <xdr:rowOff>121920</xdr:rowOff>
    </xdr:from>
    <xdr:to>
      <xdr:col>3</xdr:col>
      <xdr:colOff>731520</xdr:colOff>
      <xdr:row>36</xdr:row>
      <xdr:rowOff>152400</xdr:rowOff>
    </xdr:to>
    <xdr:graphicFrame macro="">
      <xdr:nvGraphicFramePr>
        <xdr:cNvPr id="6" name="Chart 5">
          <a:extLst>
            <a:ext uri="{FF2B5EF4-FFF2-40B4-BE49-F238E27FC236}">
              <a16:creationId xmlns:a16="http://schemas.microsoft.com/office/drawing/2014/main" id="{B334F33B-0AEB-2266-8D39-F116AACEC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68580</xdr:colOff>
      <xdr:row>37</xdr:row>
      <xdr:rowOff>45720</xdr:rowOff>
    </xdr:from>
    <xdr:to>
      <xdr:col>2</xdr:col>
      <xdr:colOff>358140</xdr:colOff>
      <xdr:row>45</xdr:row>
      <xdr:rowOff>175260</xdr:rowOff>
    </xdr:to>
    <xdr:graphicFrame macro="">
      <xdr:nvGraphicFramePr>
        <xdr:cNvPr id="2" name="Chart 1">
          <a:extLst>
            <a:ext uri="{FF2B5EF4-FFF2-40B4-BE49-F238E27FC236}">
              <a16:creationId xmlns:a16="http://schemas.microsoft.com/office/drawing/2014/main" id="{B1F4C3C7-8AA6-A513-51AB-41D522696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121920</xdr:colOff>
      <xdr:row>47</xdr:row>
      <xdr:rowOff>22860</xdr:rowOff>
    </xdr:from>
    <xdr:to>
      <xdr:col>2</xdr:col>
      <xdr:colOff>320040</xdr:colOff>
      <xdr:row>57</xdr:row>
      <xdr:rowOff>144780</xdr:rowOff>
    </xdr:to>
    <xdr:graphicFrame macro="">
      <xdr:nvGraphicFramePr>
        <xdr:cNvPr id="7" name="Chart 6">
          <a:extLst>
            <a:ext uri="{FF2B5EF4-FFF2-40B4-BE49-F238E27FC236}">
              <a16:creationId xmlns:a16="http://schemas.microsoft.com/office/drawing/2014/main" id="{28B35526-85BC-CC5C-FF4D-4F268B3E8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1257300</xdr:colOff>
      <xdr:row>37</xdr:row>
      <xdr:rowOff>15240</xdr:rowOff>
    </xdr:from>
    <xdr:to>
      <xdr:col>5</xdr:col>
      <xdr:colOff>876300</xdr:colOff>
      <xdr:row>50</xdr:row>
      <xdr:rowOff>104775</xdr:rowOff>
    </xdr:to>
    <mc:AlternateContent xmlns:mc="http://schemas.openxmlformats.org/markup-compatibility/2006">
      <mc:Choice xmlns:a14="http://schemas.microsoft.com/office/drawing/2010/main" Requires="a14">
        <xdr:graphicFrame macro="">
          <xdr:nvGraphicFramePr>
            <xdr:cNvPr id="8" name="Product type">
              <a:extLst>
                <a:ext uri="{FF2B5EF4-FFF2-40B4-BE49-F238E27FC236}">
                  <a16:creationId xmlns:a16="http://schemas.microsoft.com/office/drawing/2014/main" id="{122B8743-9593-AC89-C263-BECB1ADF20C6}"/>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5318760" y="6781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998220</xdr:colOff>
      <xdr:row>37</xdr:row>
      <xdr:rowOff>22860</xdr:rowOff>
    </xdr:from>
    <xdr:to>
      <xdr:col>6</xdr:col>
      <xdr:colOff>1173480</xdr:colOff>
      <xdr:row>50</xdr:row>
      <xdr:rowOff>112395</xdr:rowOff>
    </xdr:to>
    <mc:AlternateContent xmlns:mc="http://schemas.openxmlformats.org/markup-compatibility/2006">
      <mc:Choice xmlns:a14="http://schemas.microsoft.com/office/drawing/2010/main" Requires="a14">
        <xdr:graphicFrame macro="">
          <xdr:nvGraphicFramePr>
            <xdr:cNvPr id="9" name="Customer demographics">
              <a:extLst>
                <a:ext uri="{FF2B5EF4-FFF2-40B4-BE49-F238E27FC236}">
                  <a16:creationId xmlns:a16="http://schemas.microsoft.com/office/drawing/2014/main" id="{E7C57A80-66C3-F06F-16AD-EBF76A17BDF5}"/>
                </a:ext>
              </a:extLst>
            </xdr:cNvPr>
            <xdr:cNvGraphicFramePr/>
          </xdr:nvGraphicFramePr>
          <xdr:xfrm>
            <a:off x="0" y="0"/>
            <a:ext cx="0" cy="0"/>
          </xdr:xfrm>
          <a:graphic>
            <a:graphicData uri="http://schemas.microsoft.com/office/drawing/2010/slicer">
              <sle:slicer xmlns:sle="http://schemas.microsoft.com/office/drawing/2010/slicer" name="Customer demographics"/>
            </a:graphicData>
          </a:graphic>
        </xdr:graphicFrame>
      </mc:Choice>
      <mc:Fallback>
        <xdr:sp macro="" textlink="">
          <xdr:nvSpPr>
            <xdr:cNvPr id="0" name=""/>
            <xdr:cNvSpPr>
              <a:spLocks noTextEdit="1"/>
            </xdr:cNvSpPr>
          </xdr:nvSpPr>
          <xdr:spPr>
            <a:xfrm>
              <a:off x="7269480" y="6789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37</xdr:row>
      <xdr:rowOff>15240</xdr:rowOff>
    </xdr:from>
    <xdr:to>
      <xdr:col>13</xdr:col>
      <xdr:colOff>419100</xdr:colOff>
      <xdr:row>50</xdr:row>
      <xdr:rowOff>104775</xdr:rowOff>
    </xdr:to>
    <mc:AlternateContent xmlns:mc="http://schemas.openxmlformats.org/markup-compatibility/2006">
      <mc:Choice xmlns:a14="http://schemas.microsoft.com/office/drawing/2010/main" Requires="a14">
        <xdr:graphicFrame macro="">
          <xdr:nvGraphicFramePr>
            <xdr:cNvPr id="10" name="Shipping carriers">
              <a:extLst>
                <a:ext uri="{FF2B5EF4-FFF2-40B4-BE49-F238E27FC236}">
                  <a16:creationId xmlns:a16="http://schemas.microsoft.com/office/drawing/2014/main" id="{2596516B-5A84-EC59-7DA5-D196EA0E440E}"/>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dr:sp macro="" textlink="">
          <xdr:nvSpPr>
            <xdr:cNvPr id="0" name=""/>
            <xdr:cNvSpPr>
              <a:spLocks noTextEdit="1"/>
            </xdr:cNvSpPr>
          </xdr:nvSpPr>
          <xdr:spPr>
            <a:xfrm>
              <a:off x="14919960" y="6781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37</xdr:row>
      <xdr:rowOff>7620</xdr:rowOff>
    </xdr:from>
    <xdr:to>
      <xdr:col>11</xdr:col>
      <xdr:colOff>746760</xdr:colOff>
      <xdr:row>50</xdr:row>
      <xdr:rowOff>97155</xdr:rowOff>
    </xdr:to>
    <mc:AlternateContent xmlns:mc="http://schemas.openxmlformats.org/markup-compatibility/2006">
      <mc:Choice xmlns:a14="http://schemas.microsoft.com/office/drawing/2010/main" Requires="a14">
        <xdr:graphicFrame macro="">
          <xdr:nvGraphicFramePr>
            <xdr:cNvPr id="11" name="Supplier name">
              <a:extLst>
                <a:ext uri="{FF2B5EF4-FFF2-40B4-BE49-F238E27FC236}">
                  <a16:creationId xmlns:a16="http://schemas.microsoft.com/office/drawing/2014/main" id="{0DB0B844-48FA-84D7-5245-1EF776FDED30}"/>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12976860" y="6774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312420</xdr:colOff>
      <xdr:row>37</xdr:row>
      <xdr:rowOff>0</xdr:rowOff>
    </xdr:from>
    <xdr:to>
      <xdr:col>10</xdr:col>
      <xdr:colOff>487680</xdr:colOff>
      <xdr:row>50</xdr:row>
      <xdr:rowOff>89535</xdr:rowOff>
    </xdr:to>
    <mc:AlternateContent xmlns:mc="http://schemas.openxmlformats.org/markup-compatibility/2006">
      <mc:Choice xmlns:a14="http://schemas.microsoft.com/office/drawing/2010/main" Requires="a14">
        <xdr:graphicFrame macro="">
          <xdr:nvGraphicFramePr>
            <xdr:cNvPr id="12" name="Location">
              <a:extLst>
                <a:ext uri="{FF2B5EF4-FFF2-40B4-BE49-F238E27FC236}">
                  <a16:creationId xmlns:a16="http://schemas.microsoft.com/office/drawing/2014/main" id="{64FDFE54-43F3-CF57-C40B-603AEC773EF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064240" y="6766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1226820</xdr:colOff>
      <xdr:row>36</xdr:row>
      <xdr:rowOff>175260</xdr:rowOff>
    </xdr:from>
    <xdr:to>
      <xdr:col>9</xdr:col>
      <xdr:colOff>228600</xdr:colOff>
      <xdr:row>50</xdr:row>
      <xdr:rowOff>81915</xdr:rowOff>
    </xdr:to>
    <mc:AlternateContent xmlns:mc="http://schemas.openxmlformats.org/markup-compatibility/2006">
      <mc:Choice xmlns:a14="http://schemas.microsoft.com/office/drawing/2010/main" Requires="a14">
        <xdr:graphicFrame macro="">
          <xdr:nvGraphicFramePr>
            <xdr:cNvPr id="13" name="Transportation modes">
              <a:extLst>
                <a:ext uri="{FF2B5EF4-FFF2-40B4-BE49-F238E27FC236}">
                  <a16:creationId xmlns:a16="http://schemas.microsoft.com/office/drawing/2014/main" id="{8075C8B3-F347-D3C7-3835-32AC7510D44B}"/>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dr:sp macro="" textlink="">
          <xdr:nvSpPr>
            <xdr:cNvPr id="0" name=""/>
            <xdr:cNvSpPr>
              <a:spLocks noTextEdit="1"/>
            </xdr:cNvSpPr>
          </xdr:nvSpPr>
          <xdr:spPr>
            <a:xfrm>
              <a:off x="9151620" y="6758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3</xdr:col>
      <xdr:colOff>0</xdr:colOff>
      <xdr:row>9</xdr:row>
      <xdr:rowOff>7621</xdr:rowOff>
    </xdr:to>
    <mc:AlternateContent xmlns:mc="http://schemas.openxmlformats.org/markup-compatibility/2006" xmlns:a14="http://schemas.microsoft.com/office/drawing/2010/main">
      <mc:Choice Requires="a14">
        <xdr:graphicFrame macro="">
          <xdr:nvGraphicFramePr>
            <xdr:cNvPr id="2" name="Product type 1">
              <a:extLst>
                <a:ext uri="{FF2B5EF4-FFF2-40B4-BE49-F238E27FC236}">
                  <a16:creationId xmlns:a16="http://schemas.microsoft.com/office/drawing/2014/main" id="{40844832-A79D-4F85-A6B6-F1CFF22F2994}"/>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0" y="54864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xdr:row>
      <xdr:rowOff>1</xdr:rowOff>
    </xdr:from>
    <xdr:to>
      <xdr:col>7</xdr:col>
      <xdr:colOff>0</xdr:colOff>
      <xdr:row>11</xdr:row>
      <xdr:rowOff>99061</xdr:rowOff>
    </xdr:to>
    <mc:AlternateContent xmlns:mc="http://schemas.openxmlformats.org/markup-compatibility/2006" xmlns:a14="http://schemas.microsoft.com/office/drawing/2010/main">
      <mc:Choice Requires="a14">
        <xdr:graphicFrame macro="">
          <xdr:nvGraphicFramePr>
            <xdr:cNvPr id="3" name="Customer demographics 1">
              <a:extLst>
                <a:ext uri="{FF2B5EF4-FFF2-40B4-BE49-F238E27FC236}">
                  <a16:creationId xmlns:a16="http://schemas.microsoft.com/office/drawing/2014/main" id="{9508CE27-8DA6-425C-8976-FC0D2A60A585}"/>
                </a:ext>
              </a:extLst>
            </xdr:cNvPr>
            <xdr:cNvGraphicFramePr/>
          </xdr:nvGraphicFramePr>
          <xdr:xfrm>
            <a:off x="0" y="0"/>
            <a:ext cx="0" cy="0"/>
          </xdr:xfrm>
          <a:graphic>
            <a:graphicData uri="http://schemas.microsoft.com/office/drawing/2010/slicer">
              <sle:slicer xmlns:sle="http://schemas.microsoft.com/office/drawing/2010/slicer" name="Customer demographics 1"/>
            </a:graphicData>
          </a:graphic>
        </xdr:graphicFrame>
      </mc:Choice>
      <mc:Fallback xmlns="">
        <xdr:sp macro="" textlink="">
          <xdr:nvSpPr>
            <xdr:cNvPr id="0" name=""/>
            <xdr:cNvSpPr>
              <a:spLocks noTextEdit="1"/>
            </xdr:cNvSpPr>
          </xdr:nvSpPr>
          <xdr:spPr>
            <a:xfrm>
              <a:off x="2438400" y="731521"/>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xdr:row>
      <xdr:rowOff>1</xdr:rowOff>
    </xdr:from>
    <xdr:to>
      <xdr:col>11</xdr:col>
      <xdr:colOff>0</xdr:colOff>
      <xdr:row>9</xdr:row>
      <xdr:rowOff>30481</xdr:rowOff>
    </xdr:to>
    <mc:AlternateContent xmlns:mc="http://schemas.openxmlformats.org/markup-compatibility/2006" xmlns:a14="http://schemas.microsoft.com/office/drawing/2010/main">
      <mc:Choice Requires="a14">
        <xdr:graphicFrame macro="">
          <xdr:nvGraphicFramePr>
            <xdr:cNvPr id="4" name="Shipping carriers 1">
              <a:extLst>
                <a:ext uri="{FF2B5EF4-FFF2-40B4-BE49-F238E27FC236}">
                  <a16:creationId xmlns:a16="http://schemas.microsoft.com/office/drawing/2014/main" id="{AA6EC938-2D96-49D8-B021-B0CA29556788}"/>
                </a:ext>
              </a:extLst>
            </xdr:cNvPr>
            <xdr:cNvGraphicFramePr/>
          </xdr:nvGraphicFramePr>
          <xdr:xfrm>
            <a:off x="0" y="0"/>
            <a:ext cx="0" cy="0"/>
          </xdr:xfrm>
          <a:graphic>
            <a:graphicData uri="http://schemas.microsoft.com/office/drawing/2010/slicer">
              <sle:slicer xmlns:sle="http://schemas.microsoft.com/office/drawing/2010/slicer" name="Shipping carriers 1"/>
            </a:graphicData>
          </a:graphic>
        </xdr:graphicFrame>
      </mc:Choice>
      <mc:Fallback xmlns="">
        <xdr:sp macro="" textlink="">
          <xdr:nvSpPr>
            <xdr:cNvPr id="0" name=""/>
            <xdr:cNvSpPr>
              <a:spLocks noTextEdit="1"/>
            </xdr:cNvSpPr>
          </xdr:nvSpPr>
          <xdr:spPr>
            <a:xfrm>
              <a:off x="4876800" y="54864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xdr:row>
      <xdr:rowOff>1</xdr:rowOff>
    </xdr:from>
    <xdr:to>
      <xdr:col>15</xdr:col>
      <xdr:colOff>0</xdr:colOff>
      <xdr:row>11</xdr:row>
      <xdr:rowOff>167641</xdr:rowOff>
    </xdr:to>
    <mc:AlternateContent xmlns:mc="http://schemas.openxmlformats.org/markup-compatibility/2006" xmlns:a14="http://schemas.microsoft.com/office/drawing/2010/main">
      <mc:Choice Requires="a14">
        <xdr:graphicFrame macro="">
          <xdr:nvGraphicFramePr>
            <xdr:cNvPr id="5" name="Supplier name 1">
              <a:extLst>
                <a:ext uri="{FF2B5EF4-FFF2-40B4-BE49-F238E27FC236}">
                  <a16:creationId xmlns:a16="http://schemas.microsoft.com/office/drawing/2014/main" id="{8F5CE9A5-084E-4DC9-82D7-0CA78360147F}"/>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7315200" y="548641"/>
              <a:ext cx="1828800"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1</xdr:rowOff>
    </xdr:from>
    <xdr:to>
      <xdr:col>19</xdr:col>
      <xdr:colOff>0</xdr:colOff>
      <xdr:row>11</xdr:row>
      <xdr:rowOff>175261</xdr:rowOff>
    </xdr:to>
    <mc:AlternateContent xmlns:mc="http://schemas.openxmlformats.org/markup-compatibility/2006" xmlns:a14="http://schemas.microsoft.com/office/drawing/2010/main">
      <mc:Choice Requires="a14">
        <xdr:graphicFrame macro="">
          <xdr:nvGraphicFramePr>
            <xdr:cNvPr id="6" name="Location 1">
              <a:extLst>
                <a:ext uri="{FF2B5EF4-FFF2-40B4-BE49-F238E27FC236}">
                  <a16:creationId xmlns:a16="http://schemas.microsoft.com/office/drawing/2014/main" id="{25DF93F7-F373-4E51-8036-E89F53B6765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753600" y="54864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xdr:row>
      <xdr:rowOff>1</xdr:rowOff>
    </xdr:from>
    <xdr:to>
      <xdr:col>23</xdr:col>
      <xdr:colOff>0</xdr:colOff>
      <xdr:row>10</xdr:row>
      <xdr:rowOff>83821</xdr:rowOff>
    </xdr:to>
    <mc:AlternateContent xmlns:mc="http://schemas.openxmlformats.org/markup-compatibility/2006" xmlns:a14="http://schemas.microsoft.com/office/drawing/2010/main">
      <mc:Choice Requires="a14">
        <xdr:graphicFrame macro="">
          <xdr:nvGraphicFramePr>
            <xdr:cNvPr id="7" name="Transportation modes 1">
              <a:extLst>
                <a:ext uri="{FF2B5EF4-FFF2-40B4-BE49-F238E27FC236}">
                  <a16:creationId xmlns:a16="http://schemas.microsoft.com/office/drawing/2014/main" id="{0336014A-857F-4F26-90A0-4BB0E9A5CE5D}"/>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mlns="">
        <xdr:sp macro="" textlink="">
          <xdr:nvSpPr>
            <xdr:cNvPr id="0" name=""/>
            <xdr:cNvSpPr>
              <a:spLocks noTextEdit="1"/>
            </xdr:cNvSpPr>
          </xdr:nvSpPr>
          <xdr:spPr>
            <a:xfrm>
              <a:off x="12192000" y="548641"/>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220980</xdr:colOff>
      <xdr:row>3</xdr:row>
      <xdr:rowOff>30480</xdr:rowOff>
    </xdr:from>
    <xdr:to>
      <xdr:col>17</xdr:col>
      <xdr:colOff>213360</xdr:colOff>
      <xdr:row>33</xdr:row>
      <xdr:rowOff>137160</xdr:rowOff>
    </xdr:to>
    <xdr:sp macro="" textlink="">
      <xdr:nvSpPr>
        <xdr:cNvPr id="2" name="Rectangle: Rounded Corners 1">
          <a:extLst>
            <a:ext uri="{FF2B5EF4-FFF2-40B4-BE49-F238E27FC236}">
              <a16:creationId xmlns:a16="http://schemas.microsoft.com/office/drawing/2014/main" id="{B300274A-0F29-70D9-7479-CCD4F69C4E3C}"/>
            </a:ext>
          </a:extLst>
        </xdr:cNvPr>
        <xdr:cNvSpPr/>
      </xdr:nvSpPr>
      <xdr:spPr>
        <a:xfrm>
          <a:off x="1440180" y="579120"/>
          <a:ext cx="9136380" cy="5593080"/>
        </a:xfrm>
        <a:prstGeom prst="roundRect">
          <a:avLst>
            <a:gd name="adj" fmla="val 3179"/>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281940</xdr:colOff>
      <xdr:row>6</xdr:row>
      <xdr:rowOff>22860</xdr:rowOff>
    </xdr:from>
    <xdr:to>
      <xdr:col>5</xdr:col>
      <xdr:colOff>175260</xdr:colOff>
      <xdr:row>33</xdr:row>
      <xdr:rowOff>76200</xdr:rowOff>
    </xdr:to>
    <xdr:sp macro="" textlink="">
      <xdr:nvSpPr>
        <xdr:cNvPr id="3" name="Rectangle: Rounded Corners 2">
          <a:extLst>
            <a:ext uri="{FF2B5EF4-FFF2-40B4-BE49-F238E27FC236}">
              <a16:creationId xmlns:a16="http://schemas.microsoft.com/office/drawing/2014/main" id="{6518A08D-546D-3B94-6A03-A512D83F112E}"/>
            </a:ext>
          </a:extLst>
        </xdr:cNvPr>
        <xdr:cNvSpPr/>
      </xdr:nvSpPr>
      <xdr:spPr>
        <a:xfrm>
          <a:off x="1501140" y="1120140"/>
          <a:ext cx="1722120" cy="4991100"/>
        </a:xfrm>
        <a:prstGeom prst="roundRect">
          <a:avLst>
            <a:gd name="adj" fmla="val 8702"/>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198120</xdr:colOff>
      <xdr:row>6</xdr:row>
      <xdr:rowOff>38100</xdr:rowOff>
    </xdr:from>
    <xdr:to>
      <xdr:col>7</xdr:col>
      <xdr:colOff>434340</xdr:colOff>
      <xdr:row>10</xdr:row>
      <xdr:rowOff>106680</xdr:rowOff>
    </xdr:to>
    <xdr:sp macro="" textlink="">
      <xdr:nvSpPr>
        <xdr:cNvPr id="4" name="Rectangle: Rounded Corners 3">
          <a:extLst>
            <a:ext uri="{FF2B5EF4-FFF2-40B4-BE49-F238E27FC236}">
              <a16:creationId xmlns:a16="http://schemas.microsoft.com/office/drawing/2014/main" id="{5617E2E1-82A2-56C1-27CC-15C5991A2D92}"/>
            </a:ext>
          </a:extLst>
        </xdr:cNvPr>
        <xdr:cNvSpPr/>
      </xdr:nvSpPr>
      <xdr:spPr>
        <a:xfrm>
          <a:off x="3246120" y="1135380"/>
          <a:ext cx="1455420" cy="800100"/>
        </a:xfrm>
        <a:prstGeom prst="roundRect">
          <a:avLst/>
        </a:prstGeom>
        <a:gradFill>
          <a:gsLst>
            <a:gs pos="32000">
              <a:schemeClr val="accent6">
                <a:lumMod val="60000"/>
                <a:lumOff val="40000"/>
              </a:schemeClr>
            </a:gs>
            <a:gs pos="47000">
              <a:schemeClr val="accent6">
                <a:lumMod val="60000"/>
                <a:lumOff val="40000"/>
              </a:schemeClr>
            </a:gs>
          </a:gsLst>
          <a:path path="circle">
            <a:fillToRect l="50000" t="50000" r="50000" b="50000"/>
          </a:path>
        </a:grad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457200</xdr:colOff>
      <xdr:row>6</xdr:row>
      <xdr:rowOff>38100</xdr:rowOff>
    </xdr:from>
    <xdr:to>
      <xdr:col>10</xdr:col>
      <xdr:colOff>83820</xdr:colOff>
      <xdr:row>10</xdr:row>
      <xdr:rowOff>106680</xdr:rowOff>
    </xdr:to>
    <xdr:sp macro="" textlink="">
      <xdr:nvSpPr>
        <xdr:cNvPr id="5" name="Rectangle: Rounded Corners 4">
          <a:extLst>
            <a:ext uri="{FF2B5EF4-FFF2-40B4-BE49-F238E27FC236}">
              <a16:creationId xmlns:a16="http://schemas.microsoft.com/office/drawing/2014/main" id="{3B27BC98-2094-4807-904A-72EA72DACFAC}"/>
            </a:ext>
          </a:extLst>
        </xdr:cNvPr>
        <xdr:cNvSpPr/>
      </xdr:nvSpPr>
      <xdr:spPr>
        <a:xfrm>
          <a:off x="4724400" y="1135380"/>
          <a:ext cx="1455420" cy="800100"/>
        </a:xfrm>
        <a:prstGeom prst="roundRect">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480060</xdr:colOff>
      <xdr:row>10</xdr:row>
      <xdr:rowOff>137160</xdr:rowOff>
    </xdr:from>
    <xdr:to>
      <xdr:col>10</xdr:col>
      <xdr:colOff>106680</xdr:colOff>
      <xdr:row>15</xdr:row>
      <xdr:rowOff>22860</xdr:rowOff>
    </xdr:to>
    <xdr:sp macro="" textlink="">
      <xdr:nvSpPr>
        <xdr:cNvPr id="6" name="Rectangle: Rounded Corners 5">
          <a:extLst>
            <a:ext uri="{FF2B5EF4-FFF2-40B4-BE49-F238E27FC236}">
              <a16:creationId xmlns:a16="http://schemas.microsoft.com/office/drawing/2014/main" id="{7ED095D2-2F95-4AE1-B668-A4817B612C8D}"/>
            </a:ext>
          </a:extLst>
        </xdr:cNvPr>
        <xdr:cNvSpPr/>
      </xdr:nvSpPr>
      <xdr:spPr>
        <a:xfrm>
          <a:off x="4747260" y="1965960"/>
          <a:ext cx="1455420" cy="800100"/>
        </a:xfrm>
        <a:prstGeom prst="roundRect">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205740</xdr:colOff>
      <xdr:row>10</xdr:row>
      <xdr:rowOff>137160</xdr:rowOff>
    </xdr:from>
    <xdr:to>
      <xdr:col>7</xdr:col>
      <xdr:colOff>441960</xdr:colOff>
      <xdr:row>15</xdr:row>
      <xdr:rowOff>22860</xdr:rowOff>
    </xdr:to>
    <xdr:sp macro="" textlink="">
      <xdr:nvSpPr>
        <xdr:cNvPr id="7" name="Rectangle: Rounded Corners 6">
          <a:extLst>
            <a:ext uri="{FF2B5EF4-FFF2-40B4-BE49-F238E27FC236}">
              <a16:creationId xmlns:a16="http://schemas.microsoft.com/office/drawing/2014/main" id="{50974B04-1779-4A10-B549-29FFFEAF4E4C}"/>
            </a:ext>
          </a:extLst>
        </xdr:cNvPr>
        <xdr:cNvSpPr/>
      </xdr:nvSpPr>
      <xdr:spPr>
        <a:xfrm>
          <a:off x="3253740" y="1965960"/>
          <a:ext cx="1455420" cy="800100"/>
        </a:xfrm>
        <a:prstGeom prst="roundRect">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6</xdr:row>
      <xdr:rowOff>30480</xdr:rowOff>
    </xdr:from>
    <xdr:to>
      <xdr:col>12</xdr:col>
      <xdr:colOff>350520</xdr:colOff>
      <xdr:row>10</xdr:row>
      <xdr:rowOff>99060</xdr:rowOff>
    </xdr:to>
    <xdr:sp macro="" textlink="">
      <xdr:nvSpPr>
        <xdr:cNvPr id="8" name="Rectangle: Rounded Corners 7">
          <a:extLst>
            <a:ext uri="{FF2B5EF4-FFF2-40B4-BE49-F238E27FC236}">
              <a16:creationId xmlns:a16="http://schemas.microsoft.com/office/drawing/2014/main" id="{19830958-EFB8-42A0-97E0-332F43342FD1}"/>
            </a:ext>
          </a:extLst>
        </xdr:cNvPr>
        <xdr:cNvSpPr/>
      </xdr:nvSpPr>
      <xdr:spPr>
        <a:xfrm>
          <a:off x="6210300" y="1127760"/>
          <a:ext cx="1455420" cy="800100"/>
        </a:xfrm>
        <a:prstGeom prst="roundRect">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137160</xdr:colOff>
      <xdr:row>10</xdr:row>
      <xdr:rowOff>121920</xdr:rowOff>
    </xdr:from>
    <xdr:to>
      <xdr:col>12</xdr:col>
      <xdr:colOff>373380</xdr:colOff>
      <xdr:row>15</xdr:row>
      <xdr:rowOff>7620</xdr:rowOff>
    </xdr:to>
    <xdr:sp macro="" textlink="">
      <xdr:nvSpPr>
        <xdr:cNvPr id="9" name="Rectangle: Rounded Corners 8">
          <a:extLst>
            <a:ext uri="{FF2B5EF4-FFF2-40B4-BE49-F238E27FC236}">
              <a16:creationId xmlns:a16="http://schemas.microsoft.com/office/drawing/2014/main" id="{604EAE10-6275-4AEF-88DE-5395D41FDD34}"/>
            </a:ext>
          </a:extLst>
        </xdr:cNvPr>
        <xdr:cNvSpPr/>
      </xdr:nvSpPr>
      <xdr:spPr>
        <a:xfrm>
          <a:off x="6233160" y="1950720"/>
          <a:ext cx="1455420" cy="800100"/>
        </a:xfrm>
        <a:prstGeom prst="roundRect">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441960</xdr:colOff>
      <xdr:row>6</xdr:row>
      <xdr:rowOff>0</xdr:rowOff>
    </xdr:from>
    <xdr:to>
      <xdr:col>17</xdr:col>
      <xdr:colOff>144780</xdr:colOff>
      <xdr:row>33</xdr:row>
      <xdr:rowOff>91440</xdr:rowOff>
    </xdr:to>
    <xdr:sp macro="" textlink="">
      <xdr:nvSpPr>
        <xdr:cNvPr id="10" name="Rectangle: Rounded Corners 9">
          <a:extLst>
            <a:ext uri="{FF2B5EF4-FFF2-40B4-BE49-F238E27FC236}">
              <a16:creationId xmlns:a16="http://schemas.microsoft.com/office/drawing/2014/main" id="{9AC49350-FD17-4253-AA6E-330034C58BC6}"/>
            </a:ext>
          </a:extLst>
        </xdr:cNvPr>
        <xdr:cNvSpPr/>
      </xdr:nvSpPr>
      <xdr:spPr>
        <a:xfrm>
          <a:off x="7757160" y="1097280"/>
          <a:ext cx="2750820" cy="5029200"/>
        </a:xfrm>
        <a:prstGeom prst="roundRect">
          <a:avLst>
            <a:gd name="adj" fmla="val 6386"/>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289560</xdr:colOff>
      <xdr:row>3</xdr:row>
      <xdr:rowOff>60960</xdr:rowOff>
    </xdr:from>
    <xdr:to>
      <xdr:col>17</xdr:col>
      <xdr:colOff>144780</xdr:colOff>
      <xdr:row>5</xdr:row>
      <xdr:rowOff>152400</xdr:rowOff>
    </xdr:to>
    <xdr:sp macro="" textlink="">
      <xdr:nvSpPr>
        <xdr:cNvPr id="11" name="Rectangle: Rounded Corners 10">
          <a:extLst>
            <a:ext uri="{FF2B5EF4-FFF2-40B4-BE49-F238E27FC236}">
              <a16:creationId xmlns:a16="http://schemas.microsoft.com/office/drawing/2014/main" id="{DD56632E-9C4F-81C2-DB6D-E67BA2C6B2C9}"/>
            </a:ext>
          </a:extLst>
        </xdr:cNvPr>
        <xdr:cNvSpPr/>
      </xdr:nvSpPr>
      <xdr:spPr>
        <a:xfrm>
          <a:off x="1508760" y="609600"/>
          <a:ext cx="8999220" cy="457200"/>
        </a:xfrm>
        <a:prstGeom prst="roundRect">
          <a:avLst/>
        </a:prstGeo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228600</xdr:colOff>
      <xdr:row>15</xdr:row>
      <xdr:rowOff>76200</xdr:rowOff>
    </xdr:from>
    <xdr:to>
      <xdr:col>12</xdr:col>
      <xdr:colOff>396240</xdr:colOff>
      <xdr:row>33</xdr:row>
      <xdr:rowOff>76200</xdr:rowOff>
    </xdr:to>
    <xdr:sp macro="" textlink="">
      <xdr:nvSpPr>
        <xdr:cNvPr id="12" name="Rectangle 11">
          <a:extLst>
            <a:ext uri="{FF2B5EF4-FFF2-40B4-BE49-F238E27FC236}">
              <a16:creationId xmlns:a16="http://schemas.microsoft.com/office/drawing/2014/main" id="{92B70571-D084-5B56-3AE4-997DA5C71E62}"/>
            </a:ext>
          </a:extLst>
        </xdr:cNvPr>
        <xdr:cNvSpPr/>
      </xdr:nvSpPr>
      <xdr:spPr>
        <a:xfrm>
          <a:off x="3276600" y="2819400"/>
          <a:ext cx="4434840" cy="3291840"/>
        </a:xfrm>
        <a:prstGeom prst="rect">
          <a:avLst/>
        </a:prstGeom>
        <a:noFill/>
        <a:ln>
          <a:solidFill>
            <a:schemeClr val="bg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3</xdr:row>
      <xdr:rowOff>121920</xdr:rowOff>
    </xdr:from>
    <xdr:to>
      <xdr:col>13</xdr:col>
      <xdr:colOff>175260</xdr:colOff>
      <xdr:row>5</xdr:row>
      <xdr:rowOff>53340</xdr:rowOff>
    </xdr:to>
    <xdr:sp macro="" textlink="">
      <xdr:nvSpPr>
        <xdr:cNvPr id="13" name="TextBox 12">
          <a:extLst>
            <a:ext uri="{FF2B5EF4-FFF2-40B4-BE49-F238E27FC236}">
              <a16:creationId xmlns:a16="http://schemas.microsoft.com/office/drawing/2014/main" id="{5C53A239-A428-DEC6-B879-C687305467D1}"/>
            </a:ext>
          </a:extLst>
        </xdr:cNvPr>
        <xdr:cNvSpPr txBox="1"/>
      </xdr:nvSpPr>
      <xdr:spPr>
        <a:xfrm>
          <a:off x="3619500" y="670560"/>
          <a:ext cx="44805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Supply Chain Performance &amp; Logistics Analytics Dashboard</a:t>
          </a:r>
        </a:p>
      </xdr:txBody>
    </xdr:sp>
    <xdr:clientData/>
  </xdr:twoCellAnchor>
  <xdr:twoCellAnchor editAs="oneCell">
    <xdr:from>
      <xdr:col>2</xdr:col>
      <xdr:colOff>434340</xdr:colOff>
      <xdr:row>6</xdr:row>
      <xdr:rowOff>160020</xdr:rowOff>
    </xdr:from>
    <xdr:to>
      <xdr:col>5</xdr:col>
      <xdr:colOff>30480</xdr:colOff>
      <xdr:row>11</xdr:row>
      <xdr:rowOff>68580</xdr:rowOff>
    </xdr:to>
    <mc:AlternateContent xmlns:mc="http://schemas.openxmlformats.org/markup-compatibility/2006">
      <mc:Choice xmlns:a14="http://schemas.microsoft.com/office/drawing/2010/main" Requires="a14">
        <xdr:graphicFrame macro="">
          <xdr:nvGraphicFramePr>
            <xdr:cNvPr id="14" name="Product type 2">
              <a:extLst>
                <a:ext uri="{FF2B5EF4-FFF2-40B4-BE49-F238E27FC236}">
                  <a16:creationId xmlns:a16="http://schemas.microsoft.com/office/drawing/2014/main" id="{CA29B837-67EB-4B88-AB75-80887964046B}"/>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dr:sp macro="" textlink="">
          <xdr:nvSpPr>
            <xdr:cNvPr id="0" name=""/>
            <xdr:cNvSpPr>
              <a:spLocks noTextEdit="1"/>
            </xdr:cNvSpPr>
          </xdr:nvSpPr>
          <xdr:spPr>
            <a:xfrm>
              <a:off x="1653540" y="1257300"/>
              <a:ext cx="142494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434340</xdr:colOff>
      <xdr:row>11</xdr:row>
      <xdr:rowOff>129540</xdr:rowOff>
    </xdr:from>
    <xdr:to>
      <xdr:col>5</xdr:col>
      <xdr:colOff>45720</xdr:colOff>
      <xdr:row>16</xdr:row>
      <xdr:rowOff>7620</xdr:rowOff>
    </xdr:to>
    <mc:AlternateContent xmlns:mc="http://schemas.openxmlformats.org/markup-compatibility/2006">
      <mc:Choice xmlns:a14="http://schemas.microsoft.com/office/drawing/2010/main" Requires="a14">
        <xdr:graphicFrame macro="">
          <xdr:nvGraphicFramePr>
            <xdr:cNvPr id="15" name="Customer demographics 2">
              <a:extLst>
                <a:ext uri="{FF2B5EF4-FFF2-40B4-BE49-F238E27FC236}">
                  <a16:creationId xmlns:a16="http://schemas.microsoft.com/office/drawing/2014/main" id="{F9F8A448-8A21-483C-ABE6-07043C418C0B}"/>
                </a:ext>
              </a:extLst>
            </xdr:cNvPr>
            <xdr:cNvGraphicFramePr/>
          </xdr:nvGraphicFramePr>
          <xdr:xfrm>
            <a:off x="0" y="0"/>
            <a:ext cx="0" cy="0"/>
          </xdr:xfrm>
          <a:graphic>
            <a:graphicData uri="http://schemas.microsoft.com/office/drawing/2010/slicer">
              <sle:slicer xmlns:sle="http://schemas.microsoft.com/office/drawing/2010/slicer" name="Customer demographics 2"/>
            </a:graphicData>
          </a:graphic>
        </xdr:graphicFrame>
      </mc:Choice>
      <mc:Fallback>
        <xdr:sp macro="" textlink="">
          <xdr:nvSpPr>
            <xdr:cNvPr id="0" name=""/>
            <xdr:cNvSpPr>
              <a:spLocks noTextEdit="1"/>
            </xdr:cNvSpPr>
          </xdr:nvSpPr>
          <xdr:spPr>
            <a:xfrm>
              <a:off x="1653540" y="2141220"/>
              <a:ext cx="1440180" cy="792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434340</xdr:colOff>
      <xdr:row>16</xdr:row>
      <xdr:rowOff>83820</xdr:rowOff>
    </xdr:from>
    <xdr:to>
      <xdr:col>5</xdr:col>
      <xdr:colOff>53340</xdr:colOff>
      <xdr:row>21</xdr:row>
      <xdr:rowOff>30480</xdr:rowOff>
    </xdr:to>
    <mc:AlternateContent xmlns:mc="http://schemas.openxmlformats.org/markup-compatibility/2006">
      <mc:Choice xmlns:a14="http://schemas.microsoft.com/office/drawing/2010/main" Requires="a14">
        <xdr:graphicFrame macro="">
          <xdr:nvGraphicFramePr>
            <xdr:cNvPr id="18" name="Shipping carriers 2">
              <a:extLst>
                <a:ext uri="{FF2B5EF4-FFF2-40B4-BE49-F238E27FC236}">
                  <a16:creationId xmlns:a16="http://schemas.microsoft.com/office/drawing/2014/main" id="{37EAD1DB-2897-468C-BAA6-1BD2E493037B}"/>
                </a:ext>
              </a:extLst>
            </xdr:cNvPr>
            <xdr:cNvGraphicFramePr/>
          </xdr:nvGraphicFramePr>
          <xdr:xfrm>
            <a:off x="0" y="0"/>
            <a:ext cx="0" cy="0"/>
          </xdr:xfrm>
          <a:graphic>
            <a:graphicData uri="http://schemas.microsoft.com/office/drawing/2010/slicer">
              <sle:slicer xmlns:sle="http://schemas.microsoft.com/office/drawing/2010/slicer" name="Shipping carriers 2"/>
            </a:graphicData>
          </a:graphic>
        </xdr:graphicFrame>
      </mc:Choice>
      <mc:Fallback>
        <xdr:sp macro="" textlink="">
          <xdr:nvSpPr>
            <xdr:cNvPr id="0" name=""/>
            <xdr:cNvSpPr>
              <a:spLocks noTextEdit="1"/>
            </xdr:cNvSpPr>
          </xdr:nvSpPr>
          <xdr:spPr>
            <a:xfrm>
              <a:off x="1653540" y="3009900"/>
              <a:ext cx="1447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434340</xdr:colOff>
      <xdr:row>21</xdr:row>
      <xdr:rowOff>76200</xdr:rowOff>
    </xdr:from>
    <xdr:to>
      <xdr:col>5</xdr:col>
      <xdr:colOff>60960</xdr:colOff>
      <xdr:row>25</xdr:row>
      <xdr:rowOff>152400</xdr:rowOff>
    </xdr:to>
    <mc:AlternateContent xmlns:mc="http://schemas.openxmlformats.org/markup-compatibility/2006">
      <mc:Choice xmlns:a14="http://schemas.microsoft.com/office/drawing/2010/main" Requires="a14">
        <xdr:graphicFrame macro="">
          <xdr:nvGraphicFramePr>
            <xdr:cNvPr id="19" name="Supplier name 2">
              <a:extLst>
                <a:ext uri="{FF2B5EF4-FFF2-40B4-BE49-F238E27FC236}">
                  <a16:creationId xmlns:a16="http://schemas.microsoft.com/office/drawing/2014/main" id="{553C5EF8-FDAB-4F00-8BC1-3890B7BA2543}"/>
                </a:ext>
              </a:extLst>
            </xdr:cNvPr>
            <xdr:cNvGraphicFramePr/>
          </xdr:nvGraphicFramePr>
          <xdr:xfrm>
            <a:off x="0" y="0"/>
            <a:ext cx="0" cy="0"/>
          </xdr:xfrm>
          <a:graphic>
            <a:graphicData uri="http://schemas.microsoft.com/office/drawing/2010/slicer">
              <sle:slicer xmlns:sle="http://schemas.microsoft.com/office/drawing/2010/slicer" name="Supplier name 2"/>
            </a:graphicData>
          </a:graphic>
        </xdr:graphicFrame>
      </mc:Choice>
      <mc:Fallback>
        <xdr:sp macro="" textlink="">
          <xdr:nvSpPr>
            <xdr:cNvPr id="0" name=""/>
            <xdr:cNvSpPr>
              <a:spLocks noTextEdit="1"/>
            </xdr:cNvSpPr>
          </xdr:nvSpPr>
          <xdr:spPr>
            <a:xfrm>
              <a:off x="1653540" y="3916680"/>
              <a:ext cx="145542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434340</xdr:colOff>
      <xdr:row>25</xdr:row>
      <xdr:rowOff>175260</xdr:rowOff>
    </xdr:from>
    <xdr:to>
      <xdr:col>5</xdr:col>
      <xdr:colOff>68580</xdr:colOff>
      <xdr:row>31</xdr:row>
      <xdr:rowOff>167640</xdr:rowOff>
    </xdr:to>
    <mc:AlternateContent xmlns:mc="http://schemas.openxmlformats.org/markup-compatibility/2006">
      <mc:Choice xmlns:a14="http://schemas.microsoft.com/office/drawing/2010/main" Requires="a14">
        <xdr:graphicFrame macro="">
          <xdr:nvGraphicFramePr>
            <xdr:cNvPr id="20" name="Location 2">
              <a:extLst>
                <a:ext uri="{FF2B5EF4-FFF2-40B4-BE49-F238E27FC236}">
                  <a16:creationId xmlns:a16="http://schemas.microsoft.com/office/drawing/2014/main" id="{BCD0AE16-DA2B-4ABE-9F1F-0497838C5FD4}"/>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1653540" y="4747260"/>
              <a:ext cx="1463040" cy="1089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320040</xdr:colOff>
      <xdr:row>17</xdr:row>
      <xdr:rowOff>0</xdr:rowOff>
    </xdr:from>
    <xdr:to>
      <xdr:col>8</xdr:col>
      <xdr:colOff>541020</xdr:colOff>
      <xdr:row>23</xdr:row>
      <xdr:rowOff>167640</xdr:rowOff>
    </xdr:to>
    <xdr:graphicFrame macro="">
      <xdr:nvGraphicFramePr>
        <xdr:cNvPr id="22" name="Chart 21">
          <a:extLst>
            <a:ext uri="{FF2B5EF4-FFF2-40B4-BE49-F238E27FC236}">
              <a16:creationId xmlns:a16="http://schemas.microsoft.com/office/drawing/2014/main" id="{8649CF5C-1F71-4D60-8DBE-A4E5DC49C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15</xdr:row>
      <xdr:rowOff>76200</xdr:rowOff>
    </xdr:from>
    <xdr:to>
      <xdr:col>9</xdr:col>
      <xdr:colOff>7620</xdr:colOff>
      <xdr:row>33</xdr:row>
      <xdr:rowOff>76200</xdr:rowOff>
    </xdr:to>
    <xdr:cxnSp macro="">
      <xdr:nvCxnSpPr>
        <xdr:cNvPr id="24" name="Straight Connector 23">
          <a:extLst>
            <a:ext uri="{FF2B5EF4-FFF2-40B4-BE49-F238E27FC236}">
              <a16:creationId xmlns:a16="http://schemas.microsoft.com/office/drawing/2014/main" id="{4BAF7E30-ED24-8EEC-53DD-57A40F12D521}"/>
            </a:ext>
          </a:extLst>
        </xdr:cNvPr>
        <xdr:cNvCxnSpPr>
          <a:stCxn id="12" idx="0"/>
          <a:endCxn id="12" idx="2"/>
        </xdr:cNvCxnSpPr>
      </xdr:nvCxnSpPr>
      <xdr:spPr>
        <a:xfrm>
          <a:off x="5494020" y="2819400"/>
          <a:ext cx="0" cy="32918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228600</xdr:colOff>
      <xdr:row>24</xdr:row>
      <xdr:rowOff>76200</xdr:rowOff>
    </xdr:from>
    <xdr:to>
      <xdr:col>12</xdr:col>
      <xdr:colOff>396240</xdr:colOff>
      <xdr:row>24</xdr:row>
      <xdr:rowOff>76200</xdr:rowOff>
    </xdr:to>
    <xdr:cxnSp macro="">
      <xdr:nvCxnSpPr>
        <xdr:cNvPr id="27" name="Straight Connector 26">
          <a:extLst>
            <a:ext uri="{FF2B5EF4-FFF2-40B4-BE49-F238E27FC236}">
              <a16:creationId xmlns:a16="http://schemas.microsoft.com/office/drawing/2014/main" id="{654447E9-B971-D170-D08D-9D4E1E8FF713}"/>
            </a:ext>
          </a:extLst>
        </xdr:cNvPr>
        <xdr:cNvCxnSpPr>
          <a:stCxn id="12" idx="1"/>
          <a:endCxn id="12" idx="3"/>
        </xdr:cNvCxnSpPr>
      </xdr:nvCxnSpPr>
      <xdr:spPr>
        <a:xfrm>
          <a:off x="3276600" y="4465320"/>
          <a:ext cx="443484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441960</xdr:colOff>
      <xdr:row>19</xdr:row>
      <xdr:rowOff>137160</xdr:rowOff>
    </xdr:from>
    <xdr:to>
      <xdr:col>17</xdr:col>
      <xdr:colOff>144780</xdr:colOff>
      <xdr:row>19</xdr:row>
      <xdr:rowOff>137160</xdr:rowOff>
    </xdr:to>
    <xdr:cxnSp macro="">
      <xdr:nvCxnSpPr>
        <xdr:cNvPr id="32" name="Straight Connector 31">
          <a:extLst>
            <a:ext uri="{FF2B5EF4-FFF2-40B4-BE49-F238E27FC236}">
              <a16:creationId xmlns:a16="http://schemas.microsoft.com/office/drawing/2014/main" id="{B772046D-8B8E-588C-4ADA-FBD2A81BEF6A}"/>
            </a:ext>
          </a:extLst>
        </xdr:cNvPr>
        <xdr:cNvCxnSpPr>
          <a:stCxn id="10" idx="1"/>
          <a:endCxn id="10" idx="3"/>
        </xdr:cNvCxnSpPr>
      </xdr:nvCxnSpPr>
      <xdr:spPr>
        <a:xfrm>
          <a:off x="7757160" y="3611880"/>
          <a:ext cx="27508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53340</xdr:colOff>
      <xdr:row>17</xdr:row>
      <xdr:rowOff>7620</xdr:rowOff>
    </xdr:from>
    <xdr:to>
      <xdr:col>12</xdr:col>
      <xdr:colOff>342900</xdr:colOff>
      <xdr:row>23</xdr:row>
      <xdr:rowOff>175260</xdr:rowOff>
    </xdr:to>
    <xdr:graphicFrame macro="">
      <xdr:nvGraphicFramePr>
        <xdr:cNvPr id="33" name="Chart 32">
          <a:extLst>
            <a:ext uri="{FF2B5EF4-FFF2-40B4-BE49-F238E27FC236}">
              <a16:creationId xmlns:a16="http://schemas.microsoft.com/office/drawing/2014/main" id="{3BCA2011-67AC-42B9-90BE-628520EE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60960</xdr:colOff>
      <xdr:row>25</xdr:row>
      <xdr:rowOff>152400</xdr:rowOff>
    </xdr:from>
    <xdr:to>
      <xdr:col>12</xdr:col>
      <xdr:colOff>350520</xdr:colOff>
      <xdr:row>33</xdr:row>
      <xdr:rowOff>15240</xdr:rowOff>
    </xdr:to>
    <xdr:graphicFrame macro="">
      <xdr:nvGraphicFramePr>
        <xdr:cNvPr id="35" name="Chart 34">
          <a:extLst>
            <a:ext uri="{FF2B5EF4-FFF2-40B4-BE49-F238E27FC236}">
              <a16:creationId xmlns:a16="http://schemas.microsoft.com/office/drawing/2014/main" id="{D2FEB998-5251-4EE5-BF6A-E1BE295F9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297180</xdr:colOff>
      <xdr:row>25</xdr:row>
      <xdr:rowOff>152400</xdr:rowOff>
    </xdr:from>
    <xdr:to>
      <xdr:col>8</xdr:col>
      <xdr:colOff>563880</xdr:colOff>
      <xdr:row>33</xdr:row>
      <xdr:rowOff>22860</xdr:rowOff>
    </xdr:to>
    <xdr:graphicFrame macro="">
      <xdr:nvGraphicFramePr>
        <xdr:cNvPr id="37" name="Chart 36">
          <a:extLst>
            <a:ext uri="{FF2B5EF4-FFF2-40B4-BE49-F238E27FC236}">
              <a16:creationId xmlns:a16="http://schemas.microsoft.com/office/drawing/2014/main" id="{C65260C3-AF1D-4F90-BCD2-85DFA4C61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548640</xdr:colOff>
      <xdr:row>8</xdr:row>
      <xdr:rowOff>7620</xdr:rowOff>
    </xdr:from>
    <xdr:to>
      <xdr:col>17</xdr:col>
      <xdr:colOff>99060</xdr:colOff>
      <xdr:row>19</xdr:row>
      <xdr:rowOff>53340</xdr:rowOff>
    </xdr:to>
    <xdr:graphicFrame macro="">
      <xdr:nvGraphicFramePr>
        <xdr:cNvPr id="38" name="Chart 37">
          <a:extLst>
            <a:ext uri="{FF2B5EF4-FFF2-40B4-BE49-F238E27FC236}">
              <a16:creationId xmlns:a16="http://schemas.microsoft.com/office/drawing/2014/main" id="{A4450E46-AB02-4210-A46E-DEE44D7D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533400</xdr:colOff>
      <xdr:row>21</xdr:row>
      <xdr:rowOff>114300</xdr:rowOff>
    </xdr:from>
    <xdr:to>
      <xdr:col>17</xdr:col>
      <xdr:colOff>76200</xdr:colOff>
      <xdr:row>33</xdr:row>
      <xdr:rowOff>15240</xdr:rowOff>
    </xdr:to>
    <xdr:graphicFrame macro="">
      <xdr:nvGraphicFramePr>
        <xdr:cNvPr id="39" name="Chart 38">
          <a:extLst>
            <a:ext uri="{FF2B5EF4-FFF2-40B4-BE49-F238E27FC236}">
              <a16:creationId xmlns:a16="http://schemas.microsoft.com/office/drawing/2014/main" id="{57858143-35AE-4967-8384-3F20C021C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342900</xdr:colOff>
      <xdr:row>15</xdr:row>
      <xdr:rowOff>99060</xdr:rowOff>
    </xdr:from>
    <xdr:to>
      <xdr:col>11</xdr:col>
      <xdr:colOff>502920</xdr:colOff>
      <xdr:row>16</xdr:row>
      <xdr:rowOff>160020</xdr:rowOff>
    </xdr:to>
    <xdr:sp macro="" textlink="">
      <xdr:nvSpPr>
        <xdr:cNvPr id="40" name="TextBox 39">
          <a:extLst>
            <a:ext uri="{FF2B5EF4-FFF2-40B4-BE49-F238E27FC236}">
              <a16:creationId xmlns:a16="http://schemas.microsoft.com/office/drawing/2014/main" id="{A00FD66D-BEF5-7FB5-F731-DF42669D3DFE}"/>
            </a:ext>
          </a:extLst>
        </xdr:cNvPr>
        <xdr:cNvSpPr txBox="1"/>
      </xdr:nvSpPr>
      <xdr:spPr>
        <a:xfrm>
          <a:off x="5829300" y="2842260"/>
          <a:ext cx="13792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 by Location</a:t>
          </a:r>
        </a:p>
      </xdr:txBody>
    </xdr:sp>
    <xdr:clientData/>
  </xdr:twoCellAnchor>
  <xdr:twoCellAnchor>
    <xdr:from>
      <xdr:col>5</xdr:col>
      <xdr:colOff>510540</xdr:colOff>
      <xdr:row>15</xdr:row>
      <xdr:rowOff>99060</xdr:rowOff>
    </xdr:from>
    <xdr:to>
      <xdr:col>8</xdr:col>
      <xdr:colOff>350520</xdr:colOff>
      <xdr:row>16</xdr:row>
      <xdr:rowOff>175260</xdr:rowOff>
    </xdr:to>
    <xdr:sp macro="" textlink="">
      <xdr:nvSpPr>
        <xdr:cNvPr id="41" name="TextBox 40">
          <a:extLst>
            <a:ext uri="{FF2B5EF4-FFF2-40B4-BE49-F238E27FC236}">
              <a16:creationId xmlns:a16="http://schemas.microsoft.com/office/drawing/2014/main" id="{D1C53FCA-35F6-4E25-93D6-FDB81781C6BB}"/>
            </a:ext>
          </a:extLst>
        </xdr:cNvPr>
        <xdr:cNvSpPr txBox="1"/>
      </xdr:nvSpPr>
      <xdr:spPr>
        <a:xfrm>
          <a:off x="3558540" y="284226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 by Product Type</a:t>
          </a:r>
        </a:p>
      </xdr:txBody>
    </xdr:sp>
    <xdr:clientData/>
  </xdr:twoCellAnchor>
  <xdr:twoCellAnchor>
    <xdr:from>
      <xdr:col>9</xdr:col>
      <xdr:colOff>304800</xdr:colOff>
      <xdr:row>24</xdr:row>
      <xdr:rowOff>60960</xdr:rowOff>
    </xdr:from>
    <xdr:to>
      <xdr:col>11</xdr:col>
      <xdr:colOff>601980</xdr:colOff>
      <xdr:row>25</xdr:row>
      <xdr:rowOff>106680</xdr:rowOff>
    </xdr:to>
    <xdr:sp macro="" textlink="">
      <xdr:nvSpPr>
        <xdr:cNvPr id="42" name="TextBox 41">
          <a:extLst>
            <a:ext uri="{FF2B5EF4-FFF2-40B4-BE49-F238E27FC236}">
              <a16:creationId xmlns:a16="http://schemas.microsoft.com/office/drawing/2014/main" id="{1BC11993-C76D-417E-80B9-F23C37982F0B}"/>
            </a:ext>
          </a:extLst>
        </xdr:cNvPr>
        <xdr:cNvSpPr txBox="1"/>
      </xdr:nvSpPr>
      <xdr:spPr>
        <a:xfrm>
          <a:off x="5791200" y="4450080"/>
          <a:ext cx="15163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Defect Rate by Supplier</a:t>
          </a:r>
        </a:p>
      </xdr:txBody>
    </xdr:sp>
    <xdr:clientData/>
  </xdr:twoCellAnchor>
  <xdr:twoCellAnchor>
    <xdr:from>
      <xdr:col>5</xdr:col>
      <xdr:colOff>228600</xdr:colOff>
      <xdr:row>24</xdr:row>
      <xdr:rowOff>76200</xdr:rowOff>
    </xdr:from>
    <xdr:to>
      <xdr:col>9</xdr:col>
      <xdr:colOff>83820</xdr:colOff>
      <xdr:row>25</xdr:row>
      <xdr:rowOff>129540</xdr:rowOff>
    </xdr:to>
    <xdr:sp macro="" textlink="">
      <xdr:nvSpPr>
        <xdr:cNvPr id="43" name="TextBox 42">
          <a:extLst>
            <a:ext uri="{FF2B5EF4-FFF2-40B4-BE49-F238E27FC236}">
              <a16:creationId xmlns:a16="http://schemas.microsoft.com/office/drawing/2014/main" id="{E30725CA-E76C-4FB9-BC5F-E58C70C516C5}"/>
            </a:ext>
          </a:extLst>
        </xdr:cNvPr>
        <xdr:cNvSpPr txBox="1"/>
      </xdr:nvSpPr>
      <xdr:spPr>
        <a:xfrm>
          <a:off x="3276600" y="4465320"/>
          <a:ext cx="22936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 by Customer Demographics</a:t>
          </a:r>
        </a:p>
      </xdr:txBody>
    </xdr:sp>
    <xdr:clientData/>
  </xdr:twoCellAnchor>
  <xdr:twoCellAnchor>
    <xdr:from>
      <xdr:col>13</xdr:col>
      <xdr:colOff>190500</xdr:colOff>
      <xdr:row>20</xdr:row>
      <xdr:rowOff>22860</xdr:rowOff>
    </xdr:from>
    <xdr:to>
      <xdr:col>16</xdr:col>
      <xdr:colOff>251460</xdr:colOff>
      <xdr:row>21</xdr:row>
      <xdr:rowOff>68580</xdr:rowOff>
    </xdr:to>
    <xdr:sp macro="" textlink="">
      <xdr:nvSpPr>
        <xdr:cNvPr id="44" name="TextBox 43">
          <a:extLst>
            <a:ext uri="{FF2B5EF4-FFF2-40B4-BE49-F238E27FC236}">
              <a16:creationId xmlns:a16="http://schemas.microsoft.com/office/drawing/2014/main" id="{510117D9-17CD-4D32-880C-A9EAB2CC2BF4}"/>
            </a:ext>
          </a:extLst>
        </xdr:cNvPr>
        <xdr:cNvSpPr txBox="1"/>
      </xdr:nvSpPr>
      <xdr:spPr>
        <a:xfrm>
          <a:off x="8115300" y="3680460"/>
          <a:ext cx="18897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Transportation Mode Analysis</a:t>
          </a:r>
        </a:p>
      </xdr:txBody>
    </xdr:sp>
    <xdr:clientData/>
  </xdr:twoCellAnchor>
  <xdr:twoCellAnchor>
    <xdr:from>
      <xdr:col>13</xdr:col>
      <xdr:colOff>426720</xdr:colOff>
      <xdr:row>6</xdr:row>
      <xdr:rowOff>53340</xdr:rowOff>
    </xdr:from>
    <xdr:to>
      <xdr:col>16</xdr:col>
      <xdr:colOff>45720</xdr:colOff>
      <xdr:row>7</xdr:row>
      <xdr:rowOff>106680</xdr:rowOff>
    </xdr:to>
    <xdr:sp macro="" textlink="">
      <xdr:nvSpPr>
        <xdr:cNvPr id="45" name="TextBox 44">
          <a:extLst>
            <a:ext uri="{FF2B5EF4-FFF2-40B4-BE49-F238E27FC236}">
              <a16:creationId xmlns:a16="http://schemas.microsoft.com/office/drawing/2014/main" id="{BAC95EE3-291E-43F8-87ED-639724C0CD8C}"/>
            </a:ext>
          </a:extLst>
        </xdr:cNvPr>
        <xdr:cNvSpPr txBox="1"/>
      </xdr:nvSpPr>
      <xdr:spPr>
        <a:xfrm>
          <a:off x="8351520" y="1150620"/>
          <a:ext cx="14478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Supplier Performance</a:t>
          </a:r>
        </a:p>
      </xdr:txBody>
    </xdr:sp>
    <xdr:clientData/>
  </xdr:twoCellAnchor>
  <xdr:twoCellAnchor>
    <xdr:from>
      <xdr:col>5</xdr:col>
      <xdr:colOff>396240</xdr:colOff>
      <xdr:row>8</xdr:row>
      <xdr:rowOff>129540</xdr:rowOff>
    </xdr:from>
    <xdr:to>
      <xdr:col>7</xdr:col>
      <xdr:colOff>175260</xdr:colOff>
      <xdr:row>10</xdr:row>
      <xdr:rowOff>0</xdr:rowOff>
    </xdr:to>
    <xdr:sp macro="" textlink="">
      <xdr:nvSpPr>
        <xdr:cNvPr id="47" name="TextBox 46">
          <a:extLst>
            <a:ext uri="{FF2B5EF4-FFF2-40B4-BE49-F238E27FC236}">
              <a16:creationId xmlns:a16="http://schemas.microsoft.com/office/drawing/2014/main" id="{E00DE844-3DEB-4553-8213-A16F9D0D4C68}"/>
            </a:ext>
          </a:extLst>
        </xdr:cNvPr>
        <xdr:cNvSpPr txBox="1"/>
      </xdr:nvSpPr>
      <xdr:spPr>
        <a:xfrm>
          <a:off x="3444240" y="1592580"/>
          <a:ext cx="9982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Total Revenue</a:t>
          </a:r>
          <a:endParaRPr lang="en-US" sz="1100"/>
        </a:p>
      </xdr:txBody>
    </xdr:sp>
    <xdr:clientData/>
  </xdr:twoCellAnchor>
  <xdr:twoCellAnchor>
    <xdr:from>
      <xdr:col>5</xdr:col>
      <xdr:colOff>426720</xdr:colOff>
      <xdr:row>13</xdr:row>
      <xdr:rowOff>30480</xdr:rowOff>
    </xdr:from>
    <xdr:to>
      <xdr:col>7</xdr:col>
      <xdr:colOff>350520</xdr:colOff>
      <xdr:row>14</xdr:row>
      <xdr:rowOff>129540</xdr:rowOff>
    </xdr:to>
    <xdr:sp macro="" textlink="">
      <xdr:nvSpPr>
        <xdr:cNvPr id="48" name="TextBox 47">
          <a:extLst>
            <a:ext uri="{FF2B5EF4-FFF2-40B4-BE49-F238E27FC236}">
              <a16:creationId xmlns:a16="http://schemas.microsoft.com/office/drawing/2014/main" id="{CA44D787-708B-4C01-914C-7D7FBFAB3FB0}"/>
            </a:ext>
          </a:extLst>
        </xdr:cNvPr>
        <xdr:cNvSpPr txBox="1"/>
      </xdr:nvSpPr>
      <xdr:spPr>
        <a:xfrm>
          <a:off x="3474720" y="2407920"/>
          <a:ext cx="1143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Avg Defect Rate </a:t>
          </a:r>
          <a:endParaRPr lang="en-US" sz="1100"/>
        </a:p>
      </xdr:txBody>
    </xdr:sp>
    <xdr:clientData/>
  </xdr:twoCellAnchor>
  <xdr:twoCellAnchor>
    <xdr:from>
      <xdr:col>10</xdr:col>
      <xdr:colOff>449580</xdr:colOff>
      <xdr:row>12</xdr:row>
      <xdr:rowOff>167640</xdr:rowOff>
    </xdr:from>
    <xdr:to>
      <xdr:col>12</xdr:col>
      <xdr:colOff>449580</xdr:colOff>
      <xdr:row>14</xdr:row>
      <xdr:rowOff>60960</xdr:rowOff>
    </xdr:to>
    <xdr:sp macro="" textlink="">
      <xdr:nvSpPr>
        <xdr:cNvPr id="49" name="TextBox 48">
          <a:extLst>
            <a:ext uri="{FF2B5EF4-FFF2-40B4-BE49-F238E27FC236}">
              <a16:creationId xmlns:a16="http://schemas.microsoft.com/office/drawing/2014/main" id="{DE962676-F4B3-4536-B70C-38E2AC795F9F}"/>
            </a:ext>
          </a:extLst>
        </xdr:cNvPr>
        <xdr:cNvSpPr txBox="1"/>
      </xdr:nvSpPr>
      <xdr:spPr>
        <a:xfrm>
          <a:off x="6545580" y="2362200"/>
          <a:ext cx="1219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Avg Shipping Cost </a:t>
          </a:r>
        </a:p>
        <a:p>
          <a:endParaRPr lang="en-US" sz="1100"/>
        </a:p>
      </xdr:txBody>
    </xdr:sp>
    <xdr:clientData/>
  </xdr:twoCellAnchor>
  <xdr:twoCellAnchor>
    <xdr:from>
      <xdr:col>10</xdr:col>
      <xdr:colOff>457200</xdr:colOff>
      <xdr:row>8</xdr:row>
      <xdr:rowOff>99060</xdr:rowOff>
    </xdr:from>
    <xdr:to>
      <xdr:col>11</xdr:col>
      <xdr:colOff>601980</xdr:colOff>
      <xdr:row>9</xdr:row>
      <xdr:rowOff>167640</xdr:rowOff>
    </xdr:to>
    <xdr:sp macro="" textlink="">
      <xdr:nvSpPr>
        <xdr:cNvPr id="50" name="TextBox 49">
          <a:extLst>
            <a:ext uri="{FF2B5EF4-FFF2-40B4-BE49-F238E27FC236}">
              <a16:creationId xmlns:a16="http://schemas.microsoft.com/office/drawing/2014/main" id="{0D9707E6-CFA1-4AC7-8E5F-0FFBAC8ABA99}"/>
            </a:ext>
          </a:extLst>
        </xdr:cNvPr>
        <xdr:cNvSpPr txBox="1"/>
      </xdr:nvSpPr>
      <xdr:spPr>
        <a:xfrm>
          <a:off x="6553200" y="1562100"/>
          <a:ext cx="7543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Avg Price</a:t>
          </a:r>
          <a:endParaRPr lang="en-US" sz="1100"/>
        </a:p>
      </xdr:txBody>
    </xdr:sp>
    <xdr:clientData/>
  </xdr:twoCellAnchor>
  <xdr:twoCellAnchor>
    <xdr:from>
      <xdr:col>8</xdr:col>
      <xdr:colOff>129540</xdr:colOff>
      <xdr:row>8</xdr:row>
      <xdr:rowOff>114300</xdr:rowOff>
    </xdr:from>
    <xdr:to>
      <xdr:col>9</xdr:col>
      <xdr:colOff>480060</xdr:colOff>
      <xdr:row>9</xdr:row>
      <xdr:rowOff>175260</xdr:rowOff>
    </xdr:to>
    <xdr:sp macro="" textlink="">
      <xdr:nvSpPr>
        <xdr:cNvPr id="51" name="TextBox 50">
          <a:extLst>
            <a:ext uri="{FF2B5EF4-FFF2-40B4-BE49-F238E27FC236}">
              <a16:creationId xmlns:a16="http://schemas.microsoft.com/office/drawing/2014/main" id="{04442311-D97D-4AD8-B608-11DF21EB20D5}"/>
            </a:ext>
          </a:extLst>
        </xdr:cNvPr>
        <xdr:cNvSpPr txBox="1"/>
      </xdr:nvSpPr>
      <xdr:spPr>
        <a:xfrm>
          <a:off x="5006340" y="1577340"/>
          <a:ext cx="9601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Products Sold </a:t>
          </a:r>
          <a:endParaRPr lang="en-US" sz="1100"/>
        </a:p>
      </xdr:txBody>
    </xdr:sp>
    <xdr:clientData/>
  </xdr:twoCellAnchor>
  <xdr:twoCellAnchor>
    <xdr:from>
      <xdr:col>8</xdr:col>
      <xdr:colOff>205740</xdr:colOff>
      <xdr:row>13</xdr:row>
      <xdr:rowOff>15240</xdr:rowOff>
    </xdr:from>
    <xdr:to>
      <xdr:col>10</xdr:col>
      <xdr:colOff>106680</xdr:colOff>
      <xdr:row>14</xdr:row>
      <xdr:rowOff>91440</xdr:rowOff>
    </xdr:to>
    <xdr:sp macro="" textlink="">
      <xdr:nvSpPr>
        <xdr:cNvPr id="52" name="TextBox 51">
          <a:extLst>
            <a:ext uri="{FF2B5EF4-FFF2-40B4-BE49-F238E27FC236}">
              <a16:creationId xmlns:a16="http://schemas.microsoft.com/office/drawing/2014/main" id="{A49B6E51-A2B5-40F7-8FFA-E9C3351BF2BB}"/>
            </a:ext>
          </a:extLst>
        </xdr:cNvPr>
        <xdr:cNvSpPr txBox="1"/>
      </xdr:nvSpPr>
      <xdr:spPr>
        <a:xfrm>
          <a:off x="5082540" y="2392680"/>
          <a:ext cx="1120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Avg Lead Time </a:t>
          </a:r>
          <a:endParaRPr lang="en-US" sz="1100"/>
        </a:p>
      </xdr:txBody>
    </xdr:sp>
    <xdr:clientData/>
  </xdr:twoCellAnchor>
  <xdr:twoCellAnchor>
    <xdr:from>
      <xdr:col>10</xdr:col>
      <xdr:colOff>381000</xdr:colOff>
      <xdr:row>11</xdr:row>
      <xdr:rowOff>22860</xdr:rowOff>
    </xdr:from>
    <xdr:to>
      <xdr:col>12</xdr:col>
      <xdr:colOff>167640</xdr:colOff>
      <xdr:row>12</xdr:row>
      <xdr:rowOff>106680</xdr:rowOff>
    </xdr:to>
    <xdr:sp macro="" textlink="'pivot table'!C17">
      <xdr:nvSpPr>
        <xdr:cNvPr id="53" name="TextBox 52">
          <a:extLst>
            <a:ext uri="{FF2B5EF4-FFF2-40B4-BE49-F238E27FC236}">
              <a16:creationId xmlns:a16="http://schemas.microsoft.com/office/drawing/2014/main" id="{76A7F1AF-BECC-4842-B613-D2945552AB24}"/>
            </a:ext>
          </a:extLst>
        </xdr:cNvPr>
        <xdr:cNvSpPr txBox="1"/>
      </xdr:nvSpPr>
      <xdr:spPr>
        <a:xfrm>
          <a:off x="6477000" y="20345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C06547-D878-453D-AF0E-3F849475D119}" type="TxLink">
            <a:rPr lang="en-US" sz="1200" b="0" i="0" u="none" strike="noStrike">
              <a:solidFill>
                <a:srgbClr val="000000"/>
              </a:solidFill>
              <a:latin typeface="Calibri"/>
              <a:ea typeface="Calibri"/>
              <a:cs typeface="Calibri"/>
            </a:rPr>
            <a:t>5.548149072</a:t>
          </a:fld>
          <a:endParaRPr lang="en-US" sz="1200"/>
        </a:p>
      </xdr:txBody>
    </xdr:sp>
    <xdr:clientData/>
  </xdr:twoCellAnchor>
  <xdr:twoCellAnchor>
    <xdr:from>
      <xdr:col>8</xdr:col>
      <xdr:colOff>266700</xdr:colOff>
      <xdr:row>11</xdr:row>
      <xdr:rowOff>15240</xdr:rowOff>
    </xdr:from>
    <xdr:to>
      <xdr:col>9</xdr:col>
      <xdr:colOff>289560</xdr:colOff>
      <xdr:row>12</xdr:row>
      <xdr:rowOff>106680</xdr:rowOff>
    </xdr:to>
    <xdr:sp macro="" textlink="'pivot table'!A16">
      <xdr:nvSpPr>
        <xdr:cNvPr id="54" name="TextBox 53">
          <a:extLst>
            <a:ext uri="{FF2B5EF4-FFF2-40B4-BE49-F238E27FC236}">
              <a16:creationId xmlns:a16="http://schemas.microsoft.com/office/drawing/2014/main" id="{BA9015F9-5B89-4A25-8987-F632FE316240}"/>
            </a:ext>
          </a:extLst>
        </xdr:cNvPr>
        <xdr:cNvSpPr txBox="1"/>
      </xdr:nvSpPr>
      <xdr:spPr>
        <a:xfrm>
          <a:off x="5143500" y="2026920"/>
          <a:ext cx="6324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EBC700-8BC4-46B4-9BAE-187FB83C9AC7}" type="TxLink">
            <a:rPr lang="en-US" sz="1200" b="0" i="0" u="none" strike="noStrike">
              <a:solidFill>
                <a:srgbClr val="000000"/>
              </a:solidFill>
              <a:latin typeface="Calibri"/>
              <a:ea typeface="Calibri"/>
              <a:cs typeface="Calibri"/>
            </a:rPr>
            <a:t>15.96</a:t>
          </a:fld>
          <a:endParaRPr lang="en-US" sz="1200"/>
        </a:p>
      </xdr:txBody>
    </xdr:sp>
    <xdr:clientData/>
  </xdr:twoCellAnchor>
  <xdr:twoCellAnchor>
    <xdr:from>
      <xdr:col>5</xdr:col>
      <xdr:colOff>403860</xdr:colOff>
      <xdr:row>11</xdr:row>
      <xdr:rowOff>60960</xdr:rowOff>
    </xdr:from>
    <xdr:to>
      <xdr:col>7</xdr:col>
      <xdr:colOff>228600</xdr:colOff>
      <xdr:row>12</xdr:row>
      <xdr:rowOff>121920</xdr:rowOff>
    </xdr:to>
    <xdr:sp macro="" textlink="'pivot table'!C11">
      <xdr:nvSpPr>
        <xdr:cNvPr id="55" name="TextBox 54">
          <a:extLst>
            <a:ext uri="{FF2B5EF4-FFF2-40B4-BE49-F238E27FC236}">
              <a16:creationId xmlns:a16="http://schemas.microsoft.com/office/drawing/2014/main" id="{4F88BECF-B1CC-4091-A916-8F3261B3C70F}"/>
            </a:ext>
          </a:extLst>
        </xdr:cNvPr>
        <xdr:cNvSpPr txBox="1"/>
      </xdr:nvSpPr>
      <xdr:spPr>
        <a:xfrm>
          <a:off x="3451860" y="2072640"/>
          <a:ext cx="10439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79277E-B4DB-49DF-BD74-733D1E3A7B1C}" type="TxLink">
            <a:rPr lang="en-US" sz="1200" b="0" i="0" u="none" strike="noStrike">
              <a:solidFill>
                <a:srgbClr val="000000"/>
              </a:solidFill>
              <a:latin typeface="Calibri"/>
              <a:ea typeface="Calibri"/>
              <a:cs typeface="Calibri"/>
            </a:rPr>
            <a:t>2.277157993</a:t>
          </a:fld>
          <a:endParaRPr lang="en-US" sz="1200"/>
        </a:p>
      </xdr:txBody>
    </xdr:sp>
    <xdr:clientData/>
  </xdr:twoCellAnchor>
  <xdr:twoCellAnchor>
    <xdr:from>
      <xdr:col>10</xdr:col>
      <xdr:colOff>320040</xdr:colOff>
      <xdr:row>6</xdr:row>
      <xdr:rowOff>83820</xdr:rowOff>
    </xdr:from>
    <xdr:to>
      <xdr:col>12</xdr:col>
      <xdr:colOff>99060</xdr:colOff>
      <xdr:row>7</xdr:row>
      <xdr:rowOff>167640</xdr:rowOff>
    </xdr:to>
    <xdr:sp macro="" textlink="'pivot table'!A10">
      <xdr:nvSpPr>
        <xdr:cNvPr id="56" name="TextBox 55">
          <a:extLst>
            <a:ext uri="{FF2B5EF4-FFF2-40B4-BE49-F238E27FC236}">
              <a16:creationId xmlns:a16="http://schemas.microsoft.com/office/drawing/2014/main" id="{FBFD5BA8-68B4-49E9-9F88-DA56C42B2A8C}"/>
            </a:ext>
          </a:extLst>
        </xdr:cNvPr>
        <xdr:cNvSpPr txBox="1"/>
      </xdr:nvSpPr>
      <xdr:spPr>
        <a:xfrm>
          <a:off x="6416040" y="1181100"/>
          <a:ext cx="998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252715-D50F-4AB0-A6BE-AD76C60DBBCD}" type="TxLink">
            <a:rPr lang="en-US" sz="1200" b="0" i="0" u="none" strike="noStrike">
              <a:solidFill>
                <a:srgbClr val="000000"/>
              </a:solidFill>
              <a:latin typeface="Calibri"/>
              <a:ea typeface="Calibri"/>
              <a:cs typeface="Calibri"/>
            </a:rPr>
            <a:t>49.46246134</a:t>
          </a:fld>
          <a:endParaRPr lang="en-US" sz="1200"/>
        </a:p>
      </xdr:txBody>
    </xdr:sp>
    <xdr:clientData/>
  </xdr:twoCellAnchor>
  <xdr:twoCellAnchor>
    <xdr:from>
      <xdr:col>8</xdr:col>
      <xdr:colOff>318308</xdr:colOff>
      <xdr:row>6</xdr:row>
      <xdr:rowOff>114300</xdr:rowOff>
    </xdr:from>
    <xdr:to>
      <xdr:col>9</xdr:col>
      <xdr:colOff>152400</xdr:colOff>
      <xdr:row>8</xdr:row>
      <xdr:rowOff>38100</xdr:rowOff>
    </xdr:to>
    <xdr:sp macro="" textlink="'pivot table'!C5">
      <xdr:nvSpPr>
        <xdr:cNvPr id="57" name="TextBox 56">
          <a:extLst>
            <a:ext uri="{FF2B5EF4-FFF2-40B4-BE49-F238E27FC236}">
              <a16:creationId xmlns:a16="http://schemas.microsoft.com/office/drawing/2014/main" id="{85F6BCFB-7D82-4BA7-A73E-15B1CBA78F5E}"/>
            </a:ext>
          </a:extLst>
        </xdr:cNvPr>
        <xdr:cNvSpPr txBox="1"/>
      </xdr:nvSpPr>
      <xdr:spPr>
        <a:xfrm>
          <a:off x="5195108" y="1211580"/>
          <a:ext cx="443692"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750382-8835-481B-B36C-07BD88384304}" type="TxLink">
            <a:rPr lang="en-US" sz="1200" b="0" i="0" u="none" strike="noStrike">
              <a:solidFill>
                <a:srgbClr val="000000"/>
              </a:solidFill>
              <a:latin typeface="Calibri"/>
              <a:ea typeface="Calibri"/>
              <a:cs typeface="Calibri"/>
            </a:rPr>
            <a:t>100</a:t>
          </a:fld>
          <a:endParaRPr lang="en-US" sz="1200"/>
        </a:p>
      </xdr:txBody>
    </xdr:sp>
    <xdr:clientData/>
  </xdr:twoCellAnchor>
  <xdr:twoCellAnchor>
    <xdr:from>
      <xdr:col>5</xdr:col>
      <xdr:colOff>388620</xdr:colOff>
      <xdr:row>6</xdr:row>
      <xdr:rowOff>114300</xdr:rowOff>
    </xdr:from>
    <xdr:to>
      <xdr:col>7</xdr:col>
      <xdr:colOff>198120</xdr:colOff>
      <xdr:row>8</xdr:row>
      <xdr:rowOff>121920</xdr:rowOff>
    </xdr:to>
    <xdr:sp macro="" textlink="'pivot table'!A5">
      <xdr:nvSpPr>
        <xdr:cNvPr id="58" name="TextBox 57">
          <a:extLst>
            <a:ext uri="{FF2B5EF4-FFF2-40B4-BE49-F238E27FC236}">
              <a16:creationId xmlns:a16="http://schemas.microsoft.com/office/drawing/2014/main" id="{9B282F38-47C0-4A2B-8CCD-B930889B5720}"/>
            </a:ext>
          </a:extLst>
        </xdr:cNvPr>
        <xdr:cNvSpPr txBox="1"/>
      </xdr:nvSpPr>
      <xdr:spPr>
        <a:xfrm>
          <a:off x="3436620" y="1211580"/>
          <a:ext cx="10287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897716-B847-43EC-922D-E1E9B1435848}" type="TxLink">
            <a:rPr lang="en-US" sz="1200" b="0" i="0" u="none" strike="noStrike">
              <a:solidFill>
                <a:srgbClr val="000000"/>
              </a:solidFill>
              <a:latin typeface="Calibri"/>
              <a:ea typeface="Calibri"/>
              <a:cs typeface="Calibri"/>
            </a:rPr>
            <a:t>577604.8187</a:t>
          </a:fld>
          <a:endParaRPr lang="en-US" sz="1200"/>
        </a:p>
      </xdr:txBody>
    </xdr:sp>
    <xdr:clientData/>
  </xdr:twoCellAnchor>
  <xdr:twoCellAnchor editAs="oneCell">
    <xdr:from>
      <xdr:col>4</xdr:col>
      <xdr:colOff>144780</xdr:colOff>
      <xdr:row>32</xdr:row>
      <xdr:rowOff>30481</xdr:rowOff>
    </xdr:from>
    <xdr:to>
      <xdr:col>4</xdr:col>
      <xdr:colOff>410118</xdr:colOff>
      <xdr:row>33</xdr:row>
      <xdr:rowOff>38100</xdr:rowOff>
    </xdr:to>
    <xdr:pic>
      <xdr:nvPicPr>
        <xdr:cNvPr id="60" name="Picture 59" descr="Database PNG Transparent With Clear Background ID 99955 | TOPpng">
          <a:hlinkClick xmlns:r="http://schemas.openxmlformats.org/officeDocument/2006/relationships" r:id="rId7"/>
          <a:extLst>
            <a:ext uri="{FF2B5EF4-FFF2-40B4-BE49-F238E27FC236}">
              <a16:creationId xmlns:a16="http://schemas.microsoft.com/office/drawing/2014/main" id="{0C3D1FC8-257C-A832-B1F4-20FC49819F1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583180" y="5882641"/>
          <a:ext cx="265338" cy="19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556260</xdr:colOff>
      <xdr:row>32</xdr:row>
      <xdr:rowOff>9181</xdr:rowOff>
    </xdr:from>
    <xdr:to>
      <xdr:col>3</xdr:col>
      <xdr:colOff>167640</xdr:colOff>
      <xdr:row>33</xdr:row>
      <xdr:rowOff>46229</xdr:rowOff>
    </xdr:to>
    <xdr:pic>
      <xdr:nvPicPr>
        <xdr:cNvPr id="62" name="Picture 61" descr="Home House Silhouette Icon Building - Transparent Background Home Icon -  Free Transparent PNG Clipart Images Download">
          <a:hlinkClick xmlns:r="http://schemas.openxmlformats.org/officeDocument/2006/relationships" r:id="rId9"/>
          <a:extLst>
            <a:ext uri="{FF2B5EF4-FFF2-40B4-BE49-F238E27FC236}">
              <a16:creationId xmlns:a16="http://schemas.microsoft.com/office/drawing/2014/main" id="{2AE94454-4D92-77BD-1956-0A223C3A6D5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75460" y="5861341"/>
          <a:ext cx="220980" cy="219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541020</xdr:colOff>
      <xdr:row>8</xdr:row>
      <xdr:rowOff>106680</xdr:rowOff>
    </xdr:from>
    <xdr:to>
      <xdr:col>8</xdr:col>
      <xdr:colOff>205740</xdr:colOff>
      <xdr:row>10</xdr:row>
      <xdr:rowOff>15240</xdr:rowOff>
    </xdr:to>
    <xdr:pic>
      <xdr:nvPicPr>
        <xdr:cNvPr id="65" name="Picture 64" descr="Sold PNG Transparent Images Free ...">
          <a:extLst>
            <a:ext uri="{FF2B5EF4-FFF2-40B4-BE49-F238E27FC236}">
              <a16:creationId xmlns:a16="http://schemas.microsoft.com/office/drawing/2014/main" id="{3604FBB1-2F93-1617-8A0E-755EDDDE153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808220" y="1569720"/>
          <a:ext cx="274320"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259080</xdr:colOff>
      <xdr:row>8</xdr:row>
      <xdr:rowOff>129540</xdr:rowOff>
    </xdr:from>
    <xdr:to>
      <xdr:col>10</xdr:col>
      <xdr:colOff>464820</xdr:colOff>
      <xdr:row>9</xdr:row>
      <xdr:rowOff>152400</xdr:rowOff>
    </xdr:to>
    <xdr:pic>
      <xdr:nvPicPr>
        <xdr:cNvPr id="66" name="Picture 65" descr="Average PNG Transparent Images Free ...">
          <a:extLst>
            <a:ext uri="{FF2B5EF4-FFF2-40B4-BE49-F238E27FC236}">
              <a16:creationId xmlns:a16="http://schemas.microsoft.com/office/drawing/2014/main" id="{D1C459B3-3EDD-C023-CA34-E55018D4BE2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355080" y="1592580"/>
          <a:ext cx="20574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297180</xdr:colOff>
      <xdr:row>13</xdr:row>
      <xdr:rowOff>91440</xdr:rowOff>
    </xdr:from>
    <xdr:to>
      <xdr:col>5</xdr:col>
      <xdr:colOff>491296</xdr:colOff>
      <xdr:row>14</xdr:row>
      <xdr:rowOff>45720</xdr:rowOff>
    </xdr:to>
    <xdr:pic>
      <xdr:nvPicPr>
        <xdr:cNvPr id="67" name="Picture 66" descr="Defect. Defect Round Blue and Gold ...">
          <a:extLst>
            <a:ext uri="{FF2B5EF4-FFF2-40B4-BE49-F238E27FC236}">
              <a16:creationId xmlns:a16="http://schemas.microsoft.com/office/drawing/2014/main" id="{F413D6FB-223A-19E6-9037-8ABC7AE8F015}"/>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345180" y="2468880"/>
          <a:ext cx="194116"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571500</xdr:colOff>
      <xdr:row>13</xdr:row>
      <xdr:rowOff>7620</xdr:rowOff>
    </xdr:from>
    <xdr:to>
      <xdr:col>8</xdr:col>
      <xdr:colOff>281940</xdr:colOff>
      <xdr:row>14</xdr:row>
      <xdr:rowOff>144780</xdr:rowOff>
    </xdr:to>
    <xdr:pic>
      <xdr:nvPicPr>
        <xdr:cNvPr id="68" name="Picture 67" descr="Lead time Vector Images &amp; Graphics for ...">
          <a:extLst>
            <a:ext uri="{FF2B5EF4-FFF2-40B4-BE49-F238E27FC236}">
              <a16:creationId xmlns:a16="http://schemas.microsoft.com/office/drawing/2014/main" id="{2852DB6B-4348-7DDA-56E0-AEC721B4773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838700" y="2385060"/>
          <a:ext cx="32004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266700</xdr:colOff>
      <xdr:row>13</xdr:row>
      <xdr:rowOff>7620</xdr:rowOff>
    </xdr:from>
    <xdr:to>
      <xdr:col>10</xdr:col>
      <xdr:colOff>502920</xdr:colOff>
      <xdr:row>14</xdr:row>
      <xdr:rowOff>60960</xdr:rowOff>
    </xdr:to>
    <xdr:pic>
      <xdr:nvPicPr>
        <xdr:cNvPr id="70" name="Picture 69" descr="Shipping cost - Free commerce and shopping icons">
          <a:extLst>
            <a:ext uri="{FF2B5EF4-FFF2-40B4-BE49-F238E27FC236}">
              <a16:creationId xmlns:a16="http://schemas.microsoft.com/office/drawing/2014/main" id="{0F8847A0-7DA2-B07E-7177-D8E3AE6F002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362700" y="238506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4</xdr:col>
      <xdr:colOff>160020</xdr:colOff>
      <xdr:row>10</xdr:row>
      <xdr:rowOff>22860</xdr:rowOff>
    </xdr:to>
    <xdr:graphicFrame macro="">
      <xdr:nvGraphicFramePr>
        <xdr:cNvPr id="2" name="Chart 1">
          <a:extLst>
            <a:ext uri="{FF2B5EF4-FFF2-40B4-BE49-F238E27FC236}">
              <a16:creationId xmlns:a16="http://schemas.microsoft.com/office/drawing/2014/main" id="{18354147-476E-4058-AC0A-B0DDD3107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xdr:row>
      <xdr:rowOff>0</xdr:rowOff>
    </xdr:from>
    <xdr:to>
      <xdr:col>9</xdr:col>
      <xdr:colOff>419100</xdr:colOff>
      <xdr:row>12</xdr:row>
      <xdr:rowOff>83820</xdr:rowOff>
    </xdr:to>
    <xdr:graphicFrame macro="">
      <xdr:nvGraphicFramePr>
        <xdr:cNvPr id="3" name="Chart 2">
          <a:extLst>
            <a:ext uri="{FF2B5EF4-FFF2-40B4-BE49-F238E27FC236}">
              <a16:creationId xmlns:a16="http://schemas.microsoft.com/office/drawing/2014/main" id="{420E6596-B424-48C2-840A-ECEADE1E5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0</xdr:rowOff>
    </xdr:from>
    <xdr:to>
      <xdr:col>4</xdr:col>
      <xdr:colOff>289560</xdr:colOff>
      <xdr:row>23</xdr:row>
      <xdr:rowOff>7620</xdr:rowOff>
    </xdr:to>
    <xdr:graphicFrame macro="">
      <xdr:nvGraphicFramePr>
        <xdr:cNvPr id="4" name="Chart 3">
          <a:extLst>
            <a:ext uri="{FF2B5EF4-FFF2-40B4-BE49-F238E27FC236}">
              <a16:creationId xmlns:a16="http://schemas.microsoft.com/office/drawing/2014/main" id="{9A8168D4-BF70-436F-80A0-65833CBA0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15</xdr:row>
      <xdr:rowOff>0</xdr:rowOff>
    </xdr:from>
    <xdr:to>
      <xdr:col>8</xdr:col>
      <xdr:colOff>601980</xdr:colOff>
      <xdr:row>24</xdr:row>
      <xdr:rowOff>30480</xdr:rowOff>
    </xdr:to>
    <xdr:graphicFrame macro="">
      <xdr:nvGraphicFramePr>
        <xdr:cNvPr id="5" name="Chart 4">
          <a:extLst>
            <a:ext uri="{FF2B5EF4-FFF2-40B4-BE49-F238E27FC236}">
              <a16:creationId xmlns:a16="http://schemas.microsoft.com/office/drawing/2014/main" id="{999A04C7-714A-4CE9-9D73-E88B9AAFE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4</xdr:row>
      <xdr:rowOff>0</xdr:rowOff>
    </xdr:from>
    <xdr:to>
      <xdr:col>16</xdr:col>
      <xdr:colOff>342900</xdr:colOff>
      <xdr:row>12</xdr:row>
      <xdr:rowOff>129540</xdr:rowOff>
    </xdr:to>
    <xdr:graphicFrame macro="">
      <xdr:nvGraphicFramePr>
        <xdr:cNvPr id="6" name="Chart 5">
          <a:extLst>
            <a:ext uri="{FF2B5EF4-FFF2-40B4-BE49-F238E27FC236}">
              <a16:creationId xmlns:a16="http://schemas.microsoft.com/office/drawing/2014/main" id="{E3EC86C8-8746-4C14-96ED-FE576F982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16</xdr:row>
      <xdr:rowOff>91440</xdr:rowOff>
    </xdr:from>
    <xdr:to>
      <xdr:col>16</xdr:col>
      <xdr:colOff>251460</xdr:colOff>
      <xdr:row>27</xdr:row>
      <xdr:rowOff>30480</xdr:rowOff>
    </xdr:to>
    <xdr:graphicFrame macro="">
      <xdr:nvGraphicFramePr>
        <xdr:cNvPr id="7" name="Chart 6">
          <a:extLst>
            <a:ext uri="{FF2B5EF4-FFF2-40B4-BE49-F238E27FC236}">
              <a16:creationId xmlns:a16="http://schemas.microsoft.com/office/drawing/2014/main" id="{35C787C5-FBC7-478E-BCBB-ADD9AC1F9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739588425924" createdVersion="8" refreshedVersion="8" minRefreshableVersion="3" recordCount="100" xr:uid="{5A029943-B008-40A1-8110-6D975809F274}">
  <cacheSource type="worksheet">
    <worksheetSource name="Table1"/>
  </cacheSource>
  <cacheFields count="24">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398" count="100">
        <n v="0.226410360849925"/>
        <n v="4.8540680263886999"/>
        <n v="4.5805926191992201"/>
        <n v="4.7466486206477496"/>
        <n v="3.1455795228330001"/>
        <n v="2.7791935115711599"/>
        <n v="1.0009106193041299"/>
        <n v="0.39817718685065001"/>
        <n v="2.7098626911099601"/>
        <n v="3.8446144787675798"/>
        <n v="1.72731392835594"/>
        <n v="2.1169821372994301E-2"/>
        <n v="2.1612537475559099"/>
        <n v="1.63107423007153"/>
        <n v="0.100682851565093"/>
        <n v="2.2644057611985402"/>
        <n v="1.01256308925804"/>
        <n v="0.102020754918176"/>
        <n v="2.2319391107292601"/>
        <n v="3.64645086541702"/>
        <n v="4.2314165735345304"/>
        <n v="1.8607567631014899E-2"/>
        <n v="2.5912754732111098"/>
        <n v="1.3422915627227301"/>
        <n v="3.69131029262872"/>
        <n v="3.79723121711418"/>
        <n v="2.1193197367249201"/>
        <n v="2.8646678378833701"/>
        <n v="0.81575707929567198"/>
        <n v="3.8780989365884802"/>
        <n v="0.96539470535239302"/>
        <n v="2.9890000066550702"/>
        <n v="1.94603611938611"/>
        <n v="3.54104601225092"/>
        <n v="0.64660455937205397"/>
        <n v="0.54115409806058101"/>
        <n v="3.8055333792433501"/>
        <n v="2.61028808484811"/>
        <n v="0.613326899164507"/>
        <n v="1.4519722039968099"/>
        <n v="4.2132694305865597"/>
        <n v="4.5302262398259602E-2"/>
        <n v="4.9392552886209398"/>
        <n v="0.37230476798509698"/>
        <n v="2.9626263204548802"/>
        <n v="3.2196046120841002"/>
        <n v="3.6486105925361998"/>
        <n v="0.38057358671321301"/>
        <n v="1.6981125407144"/>
        <n v="2.8258139854001301"/>
        <n v="4.7548008046711798"/>
        <n v="1.77295117208355"/>
        <n v="2.1224716191438202"/>
        <n v="1.41034757607602"/>
        <n v="2.4787719755397402"/>
        <n v="4.5489196593963799"/>
        <n v="1.1737554953874501"/>
        <n v="2.5111748302126999"/>
        <n v="1.7303747198591899"/>
        <n v="0.44719401546382298"/>
        <n v="2.8530906166490499"/>
        <n v="4.3674705382050503"/>
        <n v="1.87400140404437"/>
        <n v="3.6328432903821302"/>
        <n v="0.15948631471751401"/>
        <n v="4.9110959548423301"/>
        <n v="3.44806328834026"/>
        <n v="0.131955444311814"/>
        <n v="1.9834678721741801"/>
        <n v="1.3623879886490999"/>
        <n v="1.8305755986122301"/>
        <n v="2.07875060787496"/>
        <n v="3.2133296074383"/>
        <n v="4.6205460645137002"/>
        <n v="0.39661272410993498"/>
        <n v="2.0300690886687498"/>
        <n v="2.1800374515822099"/>
        <n v="3.0551418183075398"/>
        <n v="4.0968813324704501"/>
        <n v="0.16587162748060799"/>
        <n v="2.8496621985053299"/>
        <n v="2.54754712154871"/>
        <n v="4.1378770486223502"/>
        <n v="0.77300613406724705"/>
        <n v="4.8434565771180402"/>
        <n v="1.3744289997457499"/>
        <n v="2.0515129307662399"/>
        <n v="3.6937377878392699"/>
        <n v="0.722204401882931"/>
        <n v="1.9076657339590699"/>
        <n v="1.2193822244013801"/>
        <n v="0.62600185820939402"/>
        <n v="0.33343182522473902"/>
        <n v="4.1657817954241398"/>
        <n v="1.4636074984727701"/>
        <n v="1.21088212958506"/>
        <n v="3.8720476814821301"/>
        <n v="3.3762378347179798"/>
        <n v="2.9081221693512598"/>
        <n v="0.34602729070550298"/>
      </sharedItems>
    </cacheField>
    <cacheField name="Transportation modes" numFmtId="0">
      <sharedItems count="4">
        <s v="Road"/>
        <s v="Air"/>
        <s v="Rail"/>
        <s v="Sea"/>
      </sharedItems>
    </cacheField>
    <cacheField name="Routes" numFmtId="0">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95087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x v="0"/>
    <n v="58"/>
    <n v="7"/>
    <n v="96"/>
    <n v="4"/>
    <x v="0"/>
    <n v="2.9565721394308002"/>
    <x v="0"/>
    <x v="0"/>
    <n v="29"/>
    <n v="215"/>
    <n v="29"/>
    <n v="46.279879240508301"/>
    <x v="0"/>
    <x v="0"/>
    <x v="0"/>
    <s v="Route B"/>
    <n v="187.75207545920301"/>
  </r>
  <r>
    <x v="1"/>
    <x v="1"/>
    <n v="14.8435232750843"/>
    <n v="95"/>
    <n v="736"/>
    <n v="7460.9000654458396"/>
    <x v="1"/>
    <n v="53"/>
    <n v="30"/>
    <n v="37"/>
    <n v="2"/>
    <x v="1"/>
    <n v="9.7165747714313095"/>
    <x v="0"/>
    <x v="0"/>
    <n v="23"/>
    <n v="517"/>
    <n v="30"/>
    <n v="33.616768953730002"/>
    <x v="0"/>
    <x v="1"/>
    <x v="0"/>
    <s v="Route B"/>
    <n v="503.06557914966902"/>
  </r>
  <r>
    <x v="0"/>
    <x v="2"/>
    <n v="11.319683293090501"/>
    <n v="34"/>
    <n v="8"/>
    <n v="9577.7496258687297"/>
    <x v="2"/>
    <n v="1"/>
    <n v="10"/>
    <n v="88"/>
    <n v="2"/>
    <x v="0"/>
    <n v="8.0544792617321495"/>
    <x v="1"/>
    <x v="0"/>
    <n v="12"/>
    <n v="971"/>
    <n v="27"/>
    <n v="30.6880193482842"/>
    <x v="0"/>
    <x v="2"/>
    <x v="1"/>
    <s v="Route C"/>
    <n v="141.920281771519"/>
  </r>
  <r>
    <x v="1"/>
    <x v="3"/>
    <n v="61.1633430164377"/>
    <n v="68"/>
    <n v="83"/>
    <n v="7766.8364256852301"/>
    <x v="0"/>
    <n v="23"/>
    <n v="13"/>
    <n v="59"/>
    <n v="6"/>
    <x v="2"/>
    <n v="1.7295685635434199"/>
    <x v="2"/>
    <x v="1"/>
    <n v="24"/>
    <n v="937"/>
    <n v="18"/>
    <n v="35.624741397125"/>
    <x v="1"/>
    <x v="3"/>
    <x v="2"/>
    <s v="Route A"/>
    <n v="254.776159219286"/>
  </r>
  <r>
    <x v="1"/>
    <x v="4"/>
    <n v="4.8054960363458896"/>
    <n v="26"/>
    <n v="871"/>
    <n v="2686.50515156744"/>
    <x v="0"/>
    <n v="5"/>
    <n v="3"/>
    <n v="56"/>
    <n v="8"/>
    <x v="1"/>
    <n v="3.8905479158706702"/>
    <x v="1"/>
    <x v="2"/>
    <n v="5"/>
    <n v="414"/>
    <n v="3"/>
    <n v="92.065160598712794"/>
    <x v="1"/>
    <x v="4"/>
    <x v="1"/>
    <s v="Route A"/>
    <n v="923.44063171192204"/>
  </r>
  <r>
    <x v="0"/>
    <x v="5"/>
    <n v="1.6999760138659299"/>
    <n v="87"/>
    <n v="147"/>
    <n v="2828.3487459757498"/>
    <x v="0"/>
    <n v="90"/>
    <n v="27"/>
    <n v="66"/>
    <n v="3"/>
    <x v="0"/>
    <n v="4.4440988643822896"/>
    <x v="3"/>
    <x v="3"/>
    <n v="10"/>
    <n v="104"/>
    <n v="17"/>
    <n v="56.766475557431797"/>
    <x v="1"/>
    <x v="5"/>
    <x v="0"/>
    <s v="Route A"/>
    <n v="235.461236735537"/>
  </r>
  <r>
    <x v="1"/>
    <x v="6"/>
    <n v="4.0783328631079403"/>
    <n v="48"/>
    <n v="65"/>
    <n v="7823.4765595317303"/>
    <x v="3"/>
    <n v="11"/>
    <n v="15"/>
    <n v="58"/>
    <n v="8"/>
    <x v="2"/>
    <n v="3.8807633029519999"/>
    <x v="0"/>
    <x v="1"/>
    <n v="14"/>
    <n v="314"/>
    <n v="24"/>
    <n v="1.0850685695870601"/>
    <x v="0"/>
    <x v="6"/>
    <x v="3"/>
    <s v="Route A"/>
    <n v="134.36909686103101"/>
  </r>
  <r>
    <x v="2"/>
    <x v="7"/>
    <n v="42.958384382459997"/>
    <n v="59"/>
    <n v="426"/>
    <n v="8496.1038130898305"/>
    <x v="1"/>
    <n v="93"/>
    <n v="17"/>
    <n v="11"/>
    <n v="1"/>
    <x v="0"/>
    <n v="2.3483387844177801"/>
    <x v="3"/>
    <x v="3"/>
    <n v="22"/>
    <n v="564"/>
    <n v="1"/>
    <n v="99.466108603599096"/>
    <x v="1"/>
    <x v="7"/>
    <x v="0"/>
    <s v="Route C"/>
    <n v="802.05631181755803"/>
  </r>
  <r>
    <x v="2"/>
    <x v="8"/>
    <n v="68.717596748527299"/>
    <n v="78"/>
    <n v="150"/>
    <n v="7517.3632106311197"/>
    <x v="1"/>
    <n v="5"/>
    <n v="10"/>
    <n v="15"/>
    <n v="7"/>
    <x v="2"/>
    <n v="3.4047338570830199"/>
    <x v="3"/>
    <x v="0"/>
    <n v="13"/>
    <n v="769"/>
    <n v="8"/>
    <n v="11.423027139565599"/>
    <x v="0"/>
    <x v="8"/>
    <x v="3"/>
    <s v="Route B"/>
    <n v="505.55713422546398"/>
  </r>
  <r>
    <x v="1"/>
    <x v="9"/>
    <n v="64.0157329412785"/>
    <n v="35"/>
    <n v="980"/>
    <n v="4971.1459875855498"/>
    <x v="2"/>
    <n v="14"/>
    <n v="27"/>
    <n v="83"/>
    <n v="1"/>
    <x v="1"/>
    <n v="7.1666452910482104"/>
    <x v="4"/>
    <x v="4"/>
    <n v="29"/>
    <n v="963"/>
    <n v="23"/>
    <n v="47.957601634951502"/>
    <x v="0"/>
    <x v="9"/>
    <x v="2"/>
    <s v="Route B"/>
    <n v="995.92946149864099"/>
  </r>
  <r>
    <x v="1"/>
    <x v="10"/>
    <n v="15.707795681912099"/>
    <n v="11"/>
    <n v="996"/>
    <n v="2330.9658020919401"/>
    <x v="0"/>
    <n v="51"/>
    <n v="13"/>
    <n v="80"/>
    <n v="2"/>
    <x v="2"/>
    <n v="8.6732112112786108"/>
    <x v="2"/>
    <x v="1"/>
    <n v="18"/>
    <n v="830"/>
    <n v="5"/>
    <n v="96.527352785310896"/>
    <x v="2"/>
    <x v="10"/>
    <x v="0"/>
    <s v="Route B"/>
    <n v="806.10317770292295"/>
  </r>
  <r>
    <x v="1"/>
    <x v="11"/>
    <n v="90.635459982288594"/>
    <n v="95"/>
    <n v="960"/>
    <n v="6099.9441155814502"/>
    <x v="1"/>
    <n v="46"/>
    <n v="23"/>
    <n v="60"/>
    <n v="1"/>
    <x v="1"/>
    <n v="4.5239431243166601"/>
    <x v="4"/>
    <x v="1"/>
    <n v="28"/>
    <n v="362"/>
    <n v="11"/>
    <n v="27.5923630866636"/>
    <x v="0"/>
    <x v="11"/>
    <x v="1"/>
    <s v="Route A"/>
    <n v="126.72303340940699"/>
  </r>
  <r>
    <x v="0"/>
    <x v="12"/>
    <n v="71.213389075359999"/>
    <n v="41"/>
    <n v="336"/>
    <n v="2873.74144602144"/>
    <x v="2"/>
    <n v="100"/>
    <n v="30"/>
    <n v="85"/>
    <n v="4"/>
    <x v="1"/>
    <n v="1.32527401018452"/>
    <x v="3"/>
    <x v="1"/>
    <n v="3"/>
    <n v="563"/>
    <n v="3"/>
    <n v="32.321286213424003"/>
    <x v="1"/>
    <x v="12"/>
    <x v="0"/>
    <s v="Route B"/>
    <n v="402.96878907376998"/>
  </r>
  <r>
    <x v="1"/>
    <x v="13"/>
    <n v="16.160393317379899"/>
    <n v="5"/>
    <n v="249"/>
    <n v="4052.7384162378598"/>
    <x v="3"/>
    <n v="80"/>
    <n v="8"/>
    <n v="48"/>
    <n v="9"/>
    <x v="1"/>
    <n v="9.5372830611083295"/>
    <x v="2"/>
    <x v="3"/>
    <n v="23"/>
    <n v="173"/>
    <n v="10"/>
    <n v="97.829050110173199"/>
    <x v="0"/>
    <x v="13"/>
    <x v="0"/>
    <s v="Route B"/>
    <n v="547.24100516096803"/>
  </r>
  <r>
    <x v="1"/>
    <x v="14"/>
    <n v="99.171328638624104"/>
    <n v="26"/>
    <n v="562"/>
    <n v="8653.5709264697998"/>
    <x v="0"/>
    <n v="54"/>
    <n v="29"/>
    <n v="78"/>
    <n v="5"/>
    <x v="0"/>
    <n v="2.0397701894493299"/>
    <x v="1"/>
    <x v="1"/>
    <n v="25"/>
    <n v="558"/>
    <n v="14"/>
    <n v="5.7914366298629796"/>
    <x v="0"/>
    <x v="14"/>
    <x v="1"/>
    <s v="Route B"/>
    <n v="929.23528996088896"/>
  </r>
  <r>
    <x v="1"/>
    <x v="15"/>
    <n v="36.989244928626903"/>
    <n v="94"/>
    <n v="469"/>
    <n v="5442.0867853976697"/>
    <x v="0"/>
    <n v="9"/>
    <n v="8"/>
    <n v="69"/>
    <n v="7"/>
    <x v="0"/>
    <n v="2.4220397232752"/>
    <x v="1"/>
    <x v="3"/>
    <n v="14"/>
    <n v="580"/>
    <n v="7"/>
    <n v="97.121281751474299"/>
    <x v="2"/>
    <x v="15"/>
    <x v="3"/>
    <s v="Route B"/>
    <n v="127.861800001625"/>
  </r>
  <r>
    <x v="1"/>
    <x v="16"/>
    <n v="7.5471721097912701"/>
    <n v="74"/>
    <n v="280"/>
    <n v="6453.7979681762799"/>
    <x v="1"/>
    <n v="2"/>
    <n v="5"/>
    <n v="78"/>
    <n v="1"/>
    <x v="0"/>
    <n v="4.1913245857054999"/>
    <x v="1"/>
    <x v="3"/>
    <n v="3"/>
    <n v="399"/>
    <n v="21"/>
    <n v="77.106342497849994"/>
    <x v="2"/>
    <x v="16"/>
    <x v="1"/>
    <s v="Route A"/>
    <n v="865.52577977123997"/>
  </r>
  <r>
    <x v="2"/>
    <x v="17"/>
    <n v="81.462534369237005"/>
    <n v="82"/>
    <n v="126"/>
    <n v="2629.39643484526"/>
    <x v="1"/>
    <n v="45"/>
    <n v="17"/>
    <n v="85"/>
    <n v="9"/>
    <x v="2"/>
    <n v="3.5854189582323399"/>
    <x v="1"/>
    <x v="4"/>
    <n v="7"/>
    <n v="453"/>
    <n v="16"/>
    <n v="47.679680368355299"/>
    <x v="1"/>
    <x v="17"/>
    <x v="1"/>
    <s v="Route C"/>
    <n v="670.93439079241"/>
  </r>
  <r>
    <x v="0"/>
    <x v="18"/>
    <n v="36.4436277704609"/>
    <n v="23"/>
    <n v="620"/>
    <n v="9364.6735050761708"/>
    <x v="2"/>
    <n v="10"/>
    <n v="10"/>
    <n v="46"/>
    <n v="8"/>
    <x v="2"/>
    <n v="4.3392247141107001"/>
    <x v="4"/>
    <x v="1"/>
    <n v="18"/>
    <n v="374"/>
    <n v="17"/>
    <n v="27.107980854843898"/>
    <x v="0"/>
    <x v="18"/>
    <x v="3"/>
    <s v="Route A"/>
    <n v="593.48025872065102"/>
  </r>
  <r>
    <x v="1"/>
    <x v="19"/>
    <n v="51.123870087964697"/>
    <n v="100"/>
    <n v="187"/>
    <n v="2553.4955849912099"/>
    <x v="2"/>
    <n v="48"/>
    <n v="11"/>
    <n v="94"/>
    <n v="3"/>
    <x v="1"/>
    <n v="4.7426358828418698"/>
    <x v="3"/>
    <x v="4"/>
    <n v="20"/>
    <n v="694"/>
    <n v="16"/>
    <n v="82.373320587990193"/>
    <x v="1"/>
    <x v="19"/>
    <x v="0"/>
    <s v="Route C"/>
    <n v="477.30763109090299"/>
  </r>
  <r>
    <x v="1"/>
    <x v="20"/>
    <n v="96.341072439963298"/>
    <n v="22"/>
    <n v="320"/>
    <n v="8128.0276968511898"/>
    <x v="2"/>
    <n v="27"/>
    <n v="12"/>
    <n v="68"/>
    <n v="6"/>
    <x v="1"/>
    <n v="8.8783346509268402"/>
    <x v="1"/>
    <x v="4"/>
    <n v="29"/>
    <n v="309"/>
    <n v="6"/>
    <n v="65.686259608488598"/>
    <x v="2"/>
    <x v="20"/>
    <x v="1"/>
    <s v="Route B"/>
    <n v="493.871215316205"/>
  </r>
  <r>
    <x v="2"/>
    <x v="21"/>
    <n v="84.893868984950799"/>
    <n v="60"/>
    <n v="601"/>
    <n v="7087.0526963574302"/>
    <x v="2"/>
    <n v="69"/>
    <n v="25"/>
    <n v="7"/>
    <n v="6"/>
    <x v="0"/>
    <n v="6.0378837692182898"/>
    <x v="2"/>
    <x v="4"/>
    <n v="19"/>
    <n v="791"/>
    <n v="4"/>
    <n v="61.735728954160898"/>
    <x v="0"/>
    <x v="21"/>
    <x v="1"/>
    <s v="Route C"/>
    <n v="523.36091472015801"/>
  </r>
  <r>
    <x v="0"/>
    <x v="22"/>
    <n v="27.679780886501899"/>
    <n v="55"/>
    <n v="884"/>
    <n v="2390.8078665561702"/>
    <x v="2"/>
    <n v="71"/>
    <n v="1"/>
    <n v="63"/>
    <n v="10"/>
    <x v="1"/>
    <n v="9.5676489209230393"/>
    <x v="3"/>
    <x v="1"/>
    <n v="22"/>
    <n v="780"/>
    <n v="28"/>
    <n v="50.120839612977299"/>
    <x v="1"/>
    <x v="22"/>
    <x v="2"/>
    <s v="Route C"/>
    <n v="205.57199582694699"/>
  </r>
  <r>
    <x v="2"/>
    <x v="23"/>
    <n v="4.3243411858641601"/>
    <n v="30"/>
    <n v="391"/>
    <n v="8858.3675710114803"/>
    <x v="2"/>
    <n v="84"/>
    <n v="5"/>
    <n v="29"/>
    <n v="7"/>
    <x v="1"/>
    <n v="2.92485760114555"/>
    <x v="2"/>
    <x v="1"/>
    <n v="11"/>
    <n v="568"/>
    <n v="29"/>
    <n v="98.6099572427038"/>
    <x v="0"/>
    <x v="23"/>
    <x v="2"/>
    <s v="Route A"/>
    <n v="196.329446112412"/>
  </r>
  <r>
    <x v="0"/>
    <x v="24"/>
    <n v="4.1563083593111001"/>
    <n v="32"/>
    <n v="209"/>
    <n v="9049.0778609398894"/>
    <x v="3"/>
    <n v="4"/>
    <n v="26"/>
    <n v="2"/>
    <n v="8"/>
    <x v="2"/>
    <n v="9.7412916892843597"/>
    <x v="4"/>
    <x v="3"/>
    <n v="28"/>
    <n v="447"/>
    <n v="3"/>
    <n v="40.382359702924802"/>
    <x v="0"/>
    <x v="24"/>
    <x v="1"/>
    <s v="Route A"/>
    <n v="758.72477260293795"/>
  </r>
  <r>
    <x v="0"/>
    <x v="25"/>
    <n v="39.629343985092603"/>
    <n v="73"/>
    <n v="142"/>
    <n v="2174.7770543506499"/>
    <x v="3"/>
    <n v="82"/>
    <n v="11"/>
    <n v="52"/>
    <n v="3"/>
    <x v="2"/>
    <n v="2.2310736812817198"/>
    <x v="3"/>
    <x v="1"/>
    <n v="19"/>
    <n v="934"/>
    <n v="23"/>
    <n v="78.280383118415301"/>
    <x v="0"/>
    <x v="25"/>
    <x v="0"/>
    <s v="Route B"/>
    <n v="458.53594573920901"/>
  </r>
  <r>
    <x v="0"/>
    <x v="26"/>
    <n v="97.446946617892806"/>
    <n v="9"/>
    <n v="353"/>
    <n v="3716.49332589403"/>
    <x v="3"/>
    <n v="59"/>
    <n v="16"/>
    <n v="48"/>
    <n v="4"/>
    <x v="0"/>
    <n v="6.5075486210785503"/>
    <x v="4"/>
    <x v="3"/>
    <n v="26"/>
    <n v="171"/>
    <n v="4"/>
    <n v="15.972229757181699"/>
    <x v="2"/>
    <x v="26"/>
    <x v="2"/>
    <s v="Route A"/>
    <n v="617.86691645837698"/>
  </r>
  <r>
    <x v="2"/>
    <x v="27"/>
    <n v="92.557360812401996"/>
    <n v="42"/>
    <n v="352"/>
    <n v="2686.4572235759802"/>
    <x v="2"/>
    <n v="47"/>
    <n v="9"/>
    <n v="62"/>
    <n v="8"/>
    <x v="2"/>
    <n v="7.4067509529980704"/>
    <x v="2"/>
    <x v="0"/>
    <n v="25"/>
    <n v="291"/>
    <n v="4"/>
    <n v="10.5282450700421"/>
    <x v="1"/>
    <x v="27"/>
    <x v="3"/>
    <s v="Route B"/>
    <n v="762.45918215568304"/>
  </r>
  <r>
    <x v="2"/>
    <x v="28"/>
    <n v="2.3972747055971402"/>
    <n v="12"/>
    <n v="394"/>
    <n v="6117.3246150839896"/>
    <x v="1"/>
    <n v="48"/>
    <n v="15"/>
    <n v="24"/>
    <n v="4"/>
    <x v="0"/>
    <n v="9.8981405080692202"/>
    <x v="1"/>
    <x v="0"/>
    <n v="13"/>
    <n v="171"/>
    <n v="7"/>
    <n v="59.429381810691503"/>
    <x v="1"/>
    <x v="28"/>
    <x v="1"/>
    <s v="Route A"/>
    <n v="123.437027511827"/>
  </r>
  <r>
    <x v="2"/>
    <x v="29"/>
    <n v="63.447559185207297"/>
    <n v="3"/>
    <n v="253"/>
    <n v="8318.9031946171708"/>
    <x v="1"/>
    <n v="45"/>
    <n v="5"/>
    <n v="67"/>
    <n v="7"/>
    <x v="0"/>
    <n v="8.1009731453970293"/>
    <x v="1"/>
    <x v="1"/>
    <n v="16"/>
    <n v="329"/>
    <n v="7"/>
    <n v="39.292875586065698"/>
    <x v="2"/>
    <x v="29"/>
    <x v="0"/>
    <s v="Route B"/>
    <n v="764.93537594070801"/>
  </r>
  <r>
    <x v="0"/>
    <x v="30"/>
    <n v="8.0228592105263896"/>
    <n v="10"/>
    <n v="327"/>
    <n v="2766.3423668660798"/>
    <x v="3"/>
    <n v="60"/>
    <n v="26"/>
    <n v="35"/>
    <n v="7"/>
    <x v="0"/>
    <n v="8.9545283153180097"/>
    <x v="3"/>
    <x v="1"/>
    <n v="27"/>
    <n v="806"/>
    <n v="30"/>
    <n v="51.634893400109299"/>
    <x v="0"/>
    <x v="30"/>
    <x v="0"/>
    <s v="Route C"/>
    <n v="880.08098824716103"/>
  </r>
  <r>
    <x v="1"/>
    <x v="31"/>
    <n v="50.847393051718697"/>
    <n v="28"/>
    <n v="168"/>
    <n v="9655.1351027193905"/>
    <x v="3"/>
    <n v="6"/>
    <n v="17"/>
    <n v="44"/>
    <n v="4"/>
    <x v="0"/>
    <n v="2.6796609649813998"/>
    <x v="0"/>
    <x v="4"/>
    <n v="24"/>
    <n v="461"/>
    <n v="8"/>
    <n v="60.251145661598002"/>
    <x v="0"/>
    <x v="31"/>
    <x v="2"/>
    <s v="Route C"/>
    <n v="609.379206618426"/>
  </r>
  <r>
    <x v="1"/>
    <x v="32"/>
    <n v="79.209936015656695"/>
    <n v="43"/>
    <n v="781"/>
    <n v="9571.5504873278096"/>
    <x v="2"/>
    <n v="89"/>
    <n v="13"/>
    <n v="64"/>
    <n v="4"/>
    <x v="2"/>
    <n v="6.5991049012385803"/>
    <x v="0"/>
    <x v="1"/>
    <n v="30"/>
    <n v="737"/>
    <n v="7"/>
    <n v="29.6924671537497"/>
    <x v="2"/>
    <x v="32"/>
    <x v="0"/>
    <s v="Route A"/>
    <n v="761.17390951487698"/>
  </r>
  <r>
    <x v="2"/>
    <x v="33"/>
    <n v="64.795435000155607"/>
    <n v="63"/>
    <n v="616"/>
    <n v="5149.9983504080301"/>
    <x v="0"/>
    <n v="4"/>
    <n v="17"/>
    <n v="95"/>
    <n v="9"/>
    <x v="2"/>
    <n v="4.85827050343664"/>
    <x v="2"/>
    <x v="4"/>
    <n v="1"/>
    <n v="251"/>
    <n v="23"/>
    <n v="23.853427512896101"/>
    <x v="1"/>
    <x v="33"/>
    <x v="3"/>
    <s v="Route A"/>
    <n v="371.25529551987103"/>
  </r>
  <r>
    <x v="1"/>
    <x v="34"/>
    <n v="37.467592329842397"/>
    <n v="96"/>
    <n v="602"/>
    <n v="9061.7108955077201"/>
    <x v="2"/>
    <n v="1"/>
    <n v="26"/>
    <n v="21"/>
    <n v="7"/>
    <x v="1"/>
    <n v="1.0194875708221101"/>
    <x v="1"/>
    <x v="4"/>
    <n v="4"/>
    <n v="452"/>
    <n v="10"/>
    <n v="10.754272815029299"/>
    <x v="2"/>
    <x v="34"/>
    <x v="0"/>
    <s v="Route B"/>
    <n v="510.35800043352299"/>
  </r>
  <r>
    <x v="2"/>
    <x v="35"/>
    <n v="84.957786816350406"/>
    <n v="11"/>
    <n v="449"/>
    <n v="6541.3293448024597"/>
    <x v="1"/>
    <n v="42"/>
    <n v="27"/>
    <n v="85"/>
    <n v="8"/>
    <x v="2"/>
    <n v="5.2881899903273997"/>
    <x v="1"/>
    <x v="2"/>
    <n v="3"/>
    <n v="367"/>
    <n v="2"/>
    <n v="58.004787044743701"/>
    <x v="2"/>
    <x v="35"/>
    <x v="3"/>
    <s v="Route C"/>
    <n v="553.42047123035502"/>
  </r>
  <r>
    <x v="1"/>
    <x v="36"/>
    <n v="9.81300257875405"/>
    <n v="34"/>
    <n v="963"/>
    <n v="7573.4024578487297"/>
    <x v="1"/>
    <n v="18"/>
    <n v="23"/>
    <n v="28"/>
    <n v="3"/>
    <x v="0"/>
    <n v="2.1079512671590801"/>
    <x v="4"/>
    <x v="2"/>
    <n v="26"/>
    <n v="671"/>
    <n v="19"/>
    <n v="45.531364237162101"/>
    <x v="1"/>
    <x v="36"/>
    <x v="1"/>
    <s v="Route C"/>
    <n v="403.80897424817999"/>
  </r>
  <r>
    <x v="1"/>
    <x v="37"/>
    <n v="23.3998447526143"/>
    <n v="5"/>
    <n v="963"/>
    <n v="2438.3399304700201"/>
    <x v="1"/>
    <n v="25"/>
    <n v="8"/>
    <n v="21"/>
    <n v="9"/>
    <x v="1"/>
    <n v="1.53265527359043"/>
    <x v="0"/>
    <x v="1"/>
    <n v="24"/>
    <n v="867"/>
    <n v="15"/>
    <n v="34.343277465075303"/>
    <x v="0"/>
    <x v="37"/>
    <x v="3"/>
    <s v="Route A"/>
    <n v="183.932968043594"/>
  </r>
  <r>
    <x v="2"/>
    <x v="38"/>
    <n v="52.075930682707799"/>
    <n v="75"/>
    <n v="705"/>
    <n v="9692.3180402184298"/>
    <x v="0"/>
    <n v="69"/>
    <n v="1"/>
    <n v="88"/>
    <n v="5"/>
    <x v="0"/>
    <n v="9.2359314372492207"/>
    <x v="2"/>
    <x v="0"/>
    <n v="10"/>
    <n v="841"/>
    <n v="12"/>
    <n v="5.9306936455283097"/>
    <x v="0"/>
    <x v="38"/>
    <x v="1"/>
    <s v="Route B"/>
    <n v="339.67286994860598"/>
  </r>
  <r>
    <x v="1"/>
    <x v="39"/>
    <n v="19.127477265823199"/>
    <n v="26"/>
    <n v="176"/>
    <n v="1912.4656631007599"/>
    <x v="1"/>
    <n v="78"/>
    <n v="29"/>
    <n v="34"/>
    <n v="3"/>
    <x v="1"/>
    <n v="5.5625037788303802"/>
    <x v="4"/>
    <x v="1"/>
    <n v="30"/>
    <n v="791"/>
    <n v="6"/>
    <n v="9.0058074287816403"/>
    <x v="1"/>
    <x v="39"/>
    <x v="1"/>
    <s v="Route B"/>
    <n v="653.67299455203295"/>
  </r>
  <r>
    <x v="1"/>
    <x v="40"/>
    <n v="80.541424170940303"/>
    <n v="97"/>
    <n v="933"/>
    <n v="5724.9593504562599"/>
    <x v="1"/>
    <n v="90"/>
    <n v="20"/>
    <n v="39"/>
    <n v="8"/>
    <x v="2"/>
    <n v="7.2295951397364702"/>
    <x v="1"/>
    <x v="1"/>
    <n v="18"/>
    <n v="793"/>
    <n v="1"/>
    <n v="88.179407104217404"/>
    <x v="0"/>
    <x v="40"/>
    <x v="0"/>
    <s v="Route A"/>
    <n v="529.80872398069096"/>
  </r>
  <r>
    <x v="1"/>
    <x v="41"/>
    <n v="99.113291615317095"/>
    <n v="35"/>
    <n v="556"/>
    <n v="5521.2052590109697"/>
    <x v="1"/>
    <n v="64"/>
    <n v="19"/>
    <n v="38"/>
    <n v="8"/>
    <x v="0"/>
    <n v="5.7732637437666501"/>
    <x v="3"/>
    <x v="4"/>
    <n v="18"/>
    <n v="892"/>
    <n v="7"/>
    <n v="95.332064548772493"/>
    <x v="1"/>
    <x v="41"/>
    <x v="3"/>
    <s v="Route A"/>
    <n v="275.52437113130901"/>
  </r>
  <r>
    <x v="1"/>
    <x v="42"/>
    <n v="46.529167614516702"/>
    <n v="98"/>
    <n v="155"/>
    <n v="1839.60942585676"/>
    <x v="1"/>
    <n v="22"/>
    <n v="27"/>
    <n v="57"/>
    <n v="4"/>
    <x v="2"/>
    <n v="7.5262483268515004"/>
    <x v="2"/>
    <x v="3"/>
    <n v="26"/>
    <n v="179"/>
    <n v="7"/>
    <n v="96.422820639571796"/>
    <x v="1"/>
    <x v="42"/>
    <x v="0"/>
    <s v="Route A"/>
    <n v="635.65712050199102"/>
  </r>
  <r>
    <x v="0"/>
    <x v="43"/>
    <n v="11.7432717763092"/>
    <n v="6"/>
    <n v="598"/>
    <n v="5737.4255991190203"/>
    <x v="2"/>
    <n v="36"/>
    <n v="29"/>
    <n v="85"/>
    <n v="9"/>
    <x v="0"/>
    <n v="3.6940212683884499"/>
    <x v="2"/>
    <x v="0"/>
    <n v="1"/>
    <n v="206"/>
    <n v="23"/>
    <n v="26.2773659573324"/>
    <x v="0"/>
    <x v="43"/>
    <x v="1"/>
    <s v="Route A"/>
    <n v="716.04411975933999"/>
  </r>
  <r>
    <x v="2"/>
    <x v="44"/>
    <n v="51.355790913110297"/>
    <n v="34"/>
    <n v="919"/>
    <n v="7152.28604943551"/>
    <x v="1"/>
    <n v="13"/>
    <n v="19"/>
    <n v="72"/>
    <n v="6"/>
    <x v="2"/>
    <n v="7.5774496573766896"/>
    <x v="4"/>
    <x v="2"/>
    <n v="7"/>
    <n v="834"/>
    <n v="18"/>
    <n v="22.554106620887701"/>
    <x v="1"/>
    <x v="44"/>
    <x v="2"/>
    <s v="Route A"/>
    <n v="610.45326961922694"/>
  </r>
  <r>
    <x v="0"/>
    <x v="45"/>
    <n v="33.784138033065503"/>
    <n v="1"/>
    <n v="24"/>
    <n v="5267.9568075105199"/>
    <x v="3"/>
    <n v="93"/>
    <n v="7"/>
    <n v="52"/>
    <n v="6"/>
    <x v="0"/>
    <n v="5.2151550087119096"/>
    <x v="4"/>
    <x v="4"/>
    <n v="25"/>
    <n v="794"/>
    <n v="25"/>
    <n v="66.312544439991598"/>
    <x v="2"/>
    <x v="45"/>
    <x v="2"/>
    <s v="Route A"/>
    <n v="495.30569702847299"/>
  </r>
  <r>
    <x v="0"/>
    <x v="46"/>
    <n v="27.082207199888899"/>
    <n v="75"/>
    <n v="859"/>
    <n v="2556.7673606335902"/>
    <x v="0"/>
    <n v="92"/>
    <n v="29"/>
    <n v="6"/>
    <n v="8"/>
    <x v="0"/>
    <n v="4.0709558370840799"/>
    <x v="0"/>
    <x v="4"/>
    <n v="18"/>
    <n v="870"/>
    <n v="23"/>
    <n v="77.322353211051606"/>
    <x v="0"/>
    <x v="46"/>
    <x v="0"/>
    <s v="Route B"/>
    <n v="380.43593711196399"/>
  </r>
  <r>
    <x v="1"/>
    <x v="47"/>
    <n v="95.712135880936003"/>
    <n v="93"/>
    <n v="910"/>
    <n v="7089.4742499341801"/>
    <x v="3"/>
    <n v="4"/>
    <n v="15"/>
    <n v="51"/>
    <n v="9"/>
    <x v="0"/>
    <n v="8.9787507559499709"/>
    <x v="1"/>
    <x v="1"/>
    <n v="10"/>
    <n v="964"/>
    <n v="20"/>
    <n v="19.7129929112936"/>
    <x v="0"/>
    <x v="47"/>
    <x v="2"/>
    <s v="Route A"/>
    <n v="581.60235505058597"/>
  </r>
  <r>
    <x v="0"/>
    <x v="48"/>
    <n v="76.035544426891704"/>
    <n v="28"/>
    <n v="29"/>
    <n v="7397.0710045871801"/>
    <x v="0"/>
    <n v="30"/>
    <n v="16"/>
    <n v="9"/>
    <n v="3"/>
    <x v="2"/>
    <n v="7.0958331565551296"/>
    <x v="4"/>
    <x v="0"/>
    <n v="9"/>
    <n v="109"/>
    <n v="18"/>
    <n v="23.126363582464698"/>
    <x v="1"/>
    <x v="48"/>
    <x v="2"/>
    <s v="Route B"/>
    <n v="768.65191395437"/>
  </r>
  <r>
    <x v="2"/>
    <x v="49"/>
    <n v="78.897913205639995"/>
    <n v="19"/>
    <n v="99"/>
    <n v="8001.6132065190004"/>
    <x v="2"/>
    <n v="97"/>
    <n v="24"/>
    <n v="9"/>
    <n v="6"/>
    <x v="2"/>
    <n v="2.5056210329009101"/>
    <x v="2"/>
    <x v="2"/>
    <n v="28"/>
    <n v="177"/>
    <n v="28"/>
    <n v="14.1478154439792"/>
    <x v="2"/>
    <x v="49"/>
    <x v="2"/>
    <s v="Route A"/>
    <n v="336.89016851997701"/>
  </r>
  <r>
    <x v="2"/>
    <x v="50"/>
    <n v="14.203484264803"/>
    <n v="91"/>
    <n v="633"/>
    <n v="5910.8853896688897"/>
    <x v="1"/>
    <n v="31"/>
    <n v="23"/>
    <n v="82"/>
    <n v="10"/>
    <x v="1"/>
    <n v="6.2478609149759903"/>
    <x v="4"/>
    <x v="2"/>
    <n v="20"/>
    <n v="306"/>
    <n v="21"/>
    <n v="45.178757924634503"/>
    <x v="1"/>
    <x v="50"/>
    <x v="2"/>
    <s v="Route B"/>
    <n v="496.24865029194001"/>
  </r>
  <r>
    <x v="0"/>
    <x v="51"/>
    <n v="26.700760972461701"/>
    <n v="61"/>
    <n v="154"/>
    <n v="9866.4654579796897"/>
    <x v="3"/>
    <n v="100"/>
    <n v="4"/>
    <n v="52"/>
    <n v="1"/>
    <x v="1"/>
    <n v="4.78300055794766"/>
    <x v="2"/>
    <x v="3"/>
    <n v="18"/>
    <n v="673"/>
    <n v="28"/>
    <n v="14.190328344569901"/>
    <x v="0"/>
    <x v="51"/>
    <x v="0"/>
    <s v="Route A"/>
    <n v="694.98231757944495"/>
  </r>
  <r>
    <x v="1"/>
    <x v="52"/>
    <n v="98.031829656465007"/>
    <n v="1"/>
    <n v="820"/>
    <n v="9435.7626089121295"/>
    <x v="3"/>
    <n v="64"/>
    <n v="11"/>
    <n v="11"/>
    <n v="1"/>
    <x v="0"/>
    <n v="8.6310521797689397"/>
    <x v="1"/>
    <x v="0"/>
    <n v="10"/>
    <n v="727"/>
    <n v="27"/>
    <n v="9.1668491485971497"/>
    <x v="0"/>
    <x v="52"/>
    <x v="1"/>
    <s v="Route C"/>
    <n v="602.89849883838303"/>
  </r>
  <r>
    <x v="1"/>
    <x v="53"/>
    <n v="30.3414707112142"/>
    <n v="93"/>
    <n v="242"/>
    <n v="8232.3348294258194"/>
    <x v="3"/>
    <n v="96"/>
    <n v="25"/>
    <n v="54"/>
    <n v="3"/>
    <x v="0"/>
    <n v="1.0134865660958901"/>
    <x v="1"/>
    <x v="2"/>
    <n v="1"/>
    <n v="631"/>
    <n v="17"/>
    <n v="83.344058991677898"/>
    <x v="0"/>
    <x v="53"/>
    <x v="1"/>
    <s v="Route B"/>
    <n v="750.73784066827"/>
  </r>
  <r>
    <x v="0"/>
    <x v="54"/>
    <n v="31.1462431602408"/>
    <n v="11"/>
    <n v="622"/>
    <n v="6088.0214799408504"/>
    <x v="0"/>
    <n v="33"/>
    <n v="22"/>
    <n v="61"/>
    <n v="3"/>
    <x v="0"/>
    <n v="4.3051034712876302"/>
    <x v="1"/>
    <x v="1"/>
    <n v="26"/>
    <n v="497"/>
    <n v="29"/>
    <n v="30.186023375822501"/>
    <x v="2"/>
    <x v="54"/>
    <x v="0"/>
    <s v="Route B"/>
    <n v="814.06999658218695"/>
  </r>
  <r>
    <x v="0"/>
    <x v="55"/>
    <n v="79.855058340789398"/>
    <n v="16"/>
    <n v="701"/>
    <n v="2925.6751703038099"/>
    <x v="3"/>
    <n v="97"/>
    <n v="11"/>
    <n v="11"/>
    <n v="5"/>
    <x v="1"/>
    <n v="5.0143649550309002"/>
    <x v="4"/>
    <x v="2"/>
    <n v="27"/>
    <n v="918"/>
    <n v="5"/>
    <n v="30.323545256616502"/>
    <x v="1"/>
    <x v="55"/>
    <x v="3"/>
    <s v="Route B"/>
    <n v="323.01292795247798"/>
  </r>
  <r>
    <x v="1"/>
    <x v="56"/>
    <n v="20.9863860370433"/>
    <n v="90"/>
    <n v="93"/>
    <n v="4767.0204843441297"/>
    <x v="0"/>
    <n v="25"/>
    <n v="23"/>
    <n v="83"/>
    <n v="5"/>
    <x v="2"/>
    <n v="1.77442971407173"/>
    <x v="1"/>
    <x v="0"/>
    <n v="24"/>
    <n v="826"/>
    <n v="28"/>
    <n v="12.8362845728327"/>
    <x v="2"/>
    <x v="56"/>
    <x v="1"/>
    <s v="Route B"/>
    <n v="832.210808706021"/>
  </r>
  <r>
    <x v="0"/>
    <x v="57"/>
    <n v="49.263205350734097"/>
    <n v="65"/>
    <n v="227"/>
    <n v="1605.8669003924001"/>
    <x v="2"/>
    <n v="5"/>
    <n v="18"/>
    <n v="51"/>
    <n v="1"/>
    <x v="0"/>
    <n v="9.1605585353818704"/>
    <x v="4"/>
    <x v="2"/>
    <n v="21"/>
    <n v="588"/>
    <n v="25"/>
    <n v="67.779622987078099"/>
    <x v="0"/>
    <x v="57"/>
    <x v="2"/>
    <s v="Route A"/>
    <n v="482.19123860252802"/>
  </r>
  <r>
    <x v="1"/>
    <x v="58"/>
    <n v="59.841561377289302"/>
    <n v="81"/>
    <n v="896"/>
    <n v="2021.1498103371"/>
    <x v="0"/>
    <n v="10"/>
    <n v="5"/>
    <n v="44"/>
    <n v="7"/>
    <x v="1"/>
    <n v="4.9384385647120901"/>
    <x v="0"/>
    <x v="2"/>
    <n v="18"/>
    <n v="396"/>
    <n v="7"/>
    <n v="65.047415094691402"/>
    <x v="1"/>
    <x v="58"/>
    <x v="0"/>
    <s v="Route B"/>
    <n v="110.364335231364"/>
  </r>
  <r>
    <x v="2"/>
    <x v="59"/>
    <n v="63.828398347710902"/>
    <n v="30"/>
    <n v="484"/>
    <n v="1061.6185230132801"/>
    <x v="0"/>
    <n v="100"/>
    <n v="16"/>
    <n v="26"/>
    <n v="7"/>
    <x v="0"/>
    <n v="7.2937225968677204"/>
    <x v="1"/>
    <x v="1"/>
    <n v="11"/>
    <n v="176"/>
    <n v="4"/>
    <n v="1.90076224351945"/>
    <x v="1"/>
    <x v="59"/>
    <x v="1"/>
    <s v="Route A"/>
    <n v="312.57427361009297"/>
  </r>
  <r>
    <x v="1"/>
    <x v="60"/>
    <n v="17.028027920188698"/>
    <n v="16"/>
    <n v="380"/>
    <n v="8864.0843495864301"/>
    <x v="1"/>
    <n v="41"/>
    <n v="27"/>
    <n v="72"/>
    <n v="8"/>
    <x v="2"/>
    <n v="4.3813681581023101"/>
    <x v="3"/>
    <x v="0"/>
    <n v="29"/>
    <n v="929"/>
    <n v="24"/>
    <n v="87.213057815135599"/>
    <x v="1"/>
    <x v="60"/>
    <x v="2"/>
    <s v="Route A"/>
    <n v="430.16909697513597"/>
  </r>
  <r>
    <x v="0"/>
    <x v="61"/>
    <n v="52.028749903294901"/>
    <n v="23"/>
    <n v="117"/>
    <n v="6885.5893508962499"/>
    <x v="2"/>
    <n v="32"/>
    <n v="23"/>
    <n v="36"/>
    <n v="7"/>
    <x v="2"/>
    <n v="9.0303404225219399"/>
    <x v="3"/>
    <x v="1"/>
    <n v="14"/>
    <n v="480"/>
    <n v="12"/>
    <n v="78.702393968878894"/>
    <x v="1"/>
    <x v="61"/>
    <x v="1"/>
    <s v="Route A"/>
    <n v="164.366528243419"/>
  </r>
  <r>
    <x v="2"/>
    <x v="62"/>
    <n v="72.796353955587307"/>
    <n v="89"/>
    <n v="270"/>
    <n v="3899.7468337292198"/>
    <x v="2"/>
    <n v="86"/>
    <n v="2"/>
    <n v="40"/>
    <n v="7"/>
    <x v="2"/>
    <n v="7.2917013887767697"/>
    <x v="4"/>
    <x v="0"/>
    <n v="13"/>
    <n v="751"/>
    <n v="14"/>
    <n v="21.048642725168602"/>
    <x v="2"/>
    <x v="62"/>
    <x v="3"/>
    <s v="Route C"/>
    <n v="320.84651575911101"/>
  </r>
  <r>
    <x v="1"/>
    <x v="63"/>
    <n v="13.0173767852878"/>
    <n v="55"/>
    <n v="246"/>
    <n v="4256.9491408502199"/>
    <x v="0"/>
    <n v="54"/>
    <n v="19"/>
    <n v="10"/>
    <n v="4"/>
    <x v="1"/>
    <n v="2.45793352798733"/>
    <x v="0"/>
    <x v="3"/>
    <n v="18"/>
    <n v="736"/>
    <n v="10"/>
    <n v="20.075003975630398"/>
    <x v="0"/>
    <x v="63"/>
    <x v="3"/>
    <s v="Route A"/>
    <n v="687.28617786641701"/>
  </r>
  <r>
    <x v="1"/>
    <x v="64"/>
    <n v="89.634095608135297"/>
    <n v="11"/>
    <n v="134"/>
    <n v="8458.7308783671706"/>
    <x v="1"/>
    <n v="73"/>
    <n v="27"/>
    <n v="75"/>
    <n v="6"/>
    <x v="2"/>
    <n v="4.5853534681946497"/>
    <x v="1"/>
    <x v="2"/>
    <n v="17"/>
    <n v="328"/>
    <n v="6"/>
    <n v="8.6930424258772803"/>
    <x v="1"/>
    <x v="64"/>
    <x v="1"/>
    <s v="Route C"/>
    <n v="771.225084681157"/>
  </r>
  <r>
    <x v="1"/>
    <x v="65"/>
    <n v="33.697717206643098"/>
    <n v="72"/>
    <n v="457"/>
    <n v="8354.5796864819895"/>
    <x v="3"/>
    <n v="57"/>
    <n v="24"/>
    <n v="54"/>
    <n v="8"/>
    <x v="2"/>
    <n v="6.5805413478845898"/>
    <x v="2"/>
    <x v="1"/>
    <n v="16"/>
    <n v="358"/>
    <n v="21"/>
    <n v="1.59722274305067"/>
    <x v="1"/>
    <x v="65"/>
    <x v="2"/>
    <s v="Route C"/>
    <n v="555.85910367174301"/>
  </r>
  <r>
    <x v="1"/>
    <x v="66"/>
    <n v="26.034869773962001"/>
    <n v="52"/>
    <n v="704"/>
    <n v="8367.7216180201503"/>
    <x v="1"/>
    <n v="13"/>
    <n v="17"/>
    <n v="19"/>
    <n v="8"/>
    <x v="1"/>
    <n v="2.2161427287713602"/>
    <x v="2"/>
    <x v="1"/>
    <n v="24"/>
    <n v="867"/>
    <n v="28"/>
    <n v="42.084436738309897"/>
    <x v="1"/>
    <x v="66"/>
    <x v="0"/>
    <s v="Route A"/>
    <n v="393.84334857842703"/>
  </r>
  <r>
    <x v="1"/>
    <x v="67"/>
    <n v="87.755432354001002"/>
    <n v="16"/>
    <n v="513"/>
    <n v="9473.7980325083299"/>
    <x v="2"/>
    <n v="12"/>
    <n v="9"/>
    <n v="71"/>
    <n v="9"/>
    <x v="2"/>
    <n v="9.1478115447106294"/>
    <x v="1"/>
    <x v="0"/>
    <n v="10"/>
    <n v="198"/>
    <n v="11"/>
    <n v="7.0578761469782298"/>
    <x v="2"/>
    <x v="67"/>
    <x v="3"/>
    <s v="Route C"/>
    <n v="169.27180138478599"/>
  </r>
  <r>
    <x v="0"/>
    <x v="68"/>
    <n v="37.931812382790298"/>
    <n v="29"/>
    <n v="163"/>
    <n v="3550.21843278099"/>
    <x v="0"/>
    <n v="0"/>
    <n v="8"/>
    <n v="58"/>
    <n v="8"/>
    <x v="0"/>
    <n v="1.19425186488499"/>
    <x v="4"/>
    <x v="3"/>
    <n v="2"/>
    <n v="375"/>
    <n v="18"/>
    <n v="97.113581563462205"/>
    <x v="1"/>
    <x v="68"/>
    <x v="2"/>
    <s v="Route A"/>
    <n v="299.70630311810299"/>
  </r>
  <r>
    <x v="1"/>
    <x v="69"/>
    <n v="54.865528517069698"/>
    <n v="62"/>
    <n v="511"/>
    <n v="1752.3810874841199"/>
    <x v="0"/>
    <n v="95"/>
    <n v="1"/>
    <n v="27"/>
    <n v="3"/>
    <x v="0"/>
    <n v="9.7052867901203399"/>
    <x v="3"/>
    <x v="1"/>
    <n v="9"/>
    <n v="862"/>
    <n v="7"/>
    <n v="77.627765812748095"/>
    <x v="0"/>
    <x v="69"/>
    <x v="1"/>
    <s v="Route A"/>
    <n v="207.66320620857499"/>
  </r>
  <r>
    <x v="0"/>
    <x v="70"/>
    <n v="47.914541824058702"/>
    <n v="90"/>
    <n v="32"/>
    <n v="7014.8879872033804"/>
    <x v="1"/>
    <n v="10"/>
    <n v="12"/>
    <n v="22"/>
    <n v="4"/>
    <x v="0"/>
    <n v="6.3157177546007199"/>
    <x v="1"/>
    <x v="3"/>
    <n v="22"/>
    <n v="775"/>
    <n v="16"/>
    <n v="11.440781823761199"/>
    <x v="2"/>
    <x v="70"/>
    <x v="0"/>
    <s v="Route C"/>
    <n v="183.27289874871099"/>
  </r>
  <r>
    <x v="2"/>
    <x v="71"/>
    <n v="6.3815331627479601"/>
    <n v="14"/>
    <n v="637"/>
    <n v="8180.3370854254399"/>
    <x v="1"/>
    <n v="76"/>
    <n v="2"/>
    <n v="26"/>
    <n v="6"/>
    <x v="1"/>
    <n v="9.2281903170525101"/>
    <x v="4"/>
    <x v="3"/>
    <n v="2"/>
    <n v="258"/>
    <n v="10"/>
    <n v="30.661677477859499"/>
    <x v="0"/>
    <x v="71"/>
    <x v="0"/>
    <s v="Route A"/>
    <n v="405.167067888855"/>
  </r>
  <r>
    <x v="2"/>
    <x v="72"/>
    <n v="90.204427520528"/>
    <n v="88"/>
    <n v="478"/>
    <n v="2633.1219813122498"/>
    <x v="0"/>
    <n v="57"/>
    <n v="29"/>
    <n v="77"/>
    <n v="9"/>
    <x v="1"/>
    <n v="6.5996141596895397"/>
    <x v="1"/>
    <x v="3"/>
    <n v="21"/>
    <n v="152"/>
    <n v="11"/>
    <n v="55.760492895244198"/>
    <x v="0"/>
    <x v="72"/>
    <x v="2"/>
    <s v="Route B"/>
    <n v="677.94456984618296"/>
  </r>
  <r>
    <x v="2"/>
    <x v="73"/>
    <n v="83.851017681304597"/>
    <n v="41"/>
    <n v="375"/>
    <n v="7910.8869161406801"/>
    <x v="3"/>
    <n v="17"/>
    <n v="25"/>
    <n v="66"/>
    <n v="5"/>
    <x v="0"/>
    <n v="1.5129368369160701"/>
    <x v="3"/>
    <x v="4"/>
    <n v="13"/>
    <n v="444"/>
    <n v="4"/>
    <n v="46.870238797617098"/>
    <x v="1"/>
    <x v="73"/>
    <x v="0"/>
    <s v="Route A"/>
    <n v="866.472800129657"/>
  </r>
  <r>
    <x v="0"/>
    <x v="74"/>
    <n v="3.1700114135661499"/>
    <n v="64"/>
    <n v="904"/>
    <n v="5709.9452959692799"/>
    <x v="1"/>
    <n v="41"/>
    <n v="6"/>
    <n v="1"/>
    <n v="5"/>
    <x v="1"/>
    <n v="5.2376546500374399"/>
    <x v="3"/>
    <x v="2"/>
    <n v="1"/>
    <n v="919"/>
    <n v="9"/>
    <n v="80.580852156447804"/>
    <x v="1"/>
    <x v="74"/>
    <x v="2"/>
    <s v="Route A"/>
    <n v="341.55265678322297"/>
  </r>
  <r>
    <x v="1"/>
    <x v="75"/>
    <n v="92.996884233970604"/>
    <n v="29"/>
    <n v="106"/>
    <n v="1889.07358977933"/>
    <x v="0"/>
    <n v="16"/>
    <n v="20"/>
    <n v="56"/>
    <n v="10"/>
    <x v="2"/>
    <n v="2.47389776104546"/>
    <x v="1"/>
    <x v="4"/>
    <n v="25"/>
    <n v="759"/>
    <n v="11"/>
    <n v="48.064782640006499"/>
    <x v="2"/>
    <x v="75"/>
    <x v="1"/>
    <s v="Route C"/>
    <n v="873.12964801765099"/>
  </r>
  <r>
    <x v="0"/>
    <x v="76"/>
    <n v="69.108799547430294"/>
    <n v="23"/>
    <n v="241"/>
    <n v="5328.3759842977497"/>
    <x v="3"/>
    <n v="38"/>
    <n v="1"/>
    <n v="22"/>
    <n v="10"/>
    <x v="1"/>
    <n v="7.0545383368369201"/>
    <x v="4"/>
    <x v="3"/>
    <n v="25"/>
    <n v="985"/>
    <n v="24"/>
    <n v="64.323597795600193"/>
    <x v="0"/>
    <x v="76"/>
    <x v="2"/>
    <s v="Route A"/>
    <n v="997.41345013319403"/>
  </r>
  <r>
    <x v="0"/>
    <x v="77"/>
    <n v="57.449742958971399"/>
    <n v="14"/>
    <n v="359"/>
    <n v="2483.7601775427902"/>
    <x v="2"/>
    <n v="96"/>
    <n v="28"/>
    <n v="57"/>
    <n v="4"/>
    <x v="0"/>
    <n v="6.7809466256178901"/>
    <x v="1"/>
    <x v="1"/>
    <n v="26"/>
    <n v="334"/>
    <n v="5"/>
    <n v="42.952444748991802"/>
    <x v="2"/>
    <x v="77"/>
    <x v="0"/>
    <s v="Route B"/>
    <n v="852.56809891984994"/>
  </r>
  <r>
    <x v="0"/>
    <x v="78"/>
    <n v="6.30688317611191"/>
    <n v="50"/>
    <n v="946"/>
    <n v="1292.45841793775"/>
    <x v="2"/>
    <n v="5"/>
    <n v="4"/>
    <n v="51"/>
    <n v="5"/>
    <x v="0"/>
    <n v="8.4670497708619905"/>
    <x v="2"/>
    <x v="0"/>
    <n v="25"/>
    <n v="858"/>
    <n v="21"/>
    <n v="71.126514720403307"/>
    <x v="0"/>
    <x v="78"/>
    <x v="3"/>
    <s v="Route C"/>
    <n v="323.59220343132199"/>
  </r>
  <r>
    <x v="0"/>
    <x v="79"/>
    <n v="57.057031221103202"/>
    <n v="56"/>
    <n v="198"/>
    <n v="7888.7232684270803"/>
    <x v="0"/>
    <n v="31"/>
    <n v="25"/>
    <n v="20"/>
    <n v="1"/>
    <x v="0"/>
    <n v="6.49632536429504"/>
    <x v="0"/>
    <x v="3"/>
    <n v="5"/>
    <n v="228"/>
    <n v="12"/>
    <n v="57.870902924036201"/>
    <x v="0"/>
    <x v="79"/>
    <x v="1"/>
    <s v="Route C"/>
    <n v="351.50421933503799"/>
  </r>
  <r>
    <x v="1"/>
    <x v="80"/>
    <n v="91.128318350444303"/>
    <n v="75"/>
    <n v="872"/>
    <n v="8651.67268298206"/>
    <x v="2"/>
    <n v="39"/>
    <n v="14"/>
    <n v="41"/>
    <n v="2"/>
    <x v="2"/>
    <n v="2.8331846794189701"/>
    <x v="0"/>
    <x v="4"/>
    <n v="8"/>
    <n v="202"/>
    <n v="5"/>
    <n v="76.961228023819999"/>
    <x v="1"/>
    <x v="80"/>
    <x v="3"/>
    <s v="Route B"/>
    <n v="787.77985049434403"/>
  </r>
  <r>
    <x v="0"/>
    <x v="81"/>
    <n v="72.819206930318202"/>
    <n v="9"/>
    <n v="774"/>
    <n v="4384.4134000458598"/>
    <x v="2"/>
    <n v="48"/>
    <n v="6"/>
    <n v="8"/>
    <n v="5"/>
    <x v="0"/>
    <n v="4.0662775015120403"/>
    <x v="0"/>
    <x v="2"/>
    <n v="28"/>
    <n v="698"/>
    <n v="1"/>
    <n v="19.789592941903599"/>
    <x v="0"/>
    <x v="81"/>
    <x v="2"/>
    <s v="Route B"/>
    <n v="276.77833594679799"/>
  </r>
  <r>
    <x v="1"/>
    <x v="82"/>
    <n v="17.034930739467899"/>
    <n v="13"/>
    <n v="336"/>
    <n v="2943.3818676094502"/>
    <x v="2"/>
    <n v="42"/>
    <n v="19"/>
    <n v="72"/>
    <n v="1"/>
    <x v="1"/>
    <n v="4.7081818735419301"/>
    <x v="4"/>
    <x v="0"/>
    <n v="6"/>
    <n v="955"/>
    <n v="26"/>
    <n v="4.4652784349432402"/>
    <x v="0"/>
    <x v="82"/>
    <x v="0"/>
    <s v="Route C"/>
    <n v="589.97855562804"/>
  </r>
  <r>
    <x v="0"/>
    <x v="83"/>
    <n v="68.911246211606297"/>
    <n v="82"/>
    <n v="663"/>
    <n v="2411.7546321104901"/>
    <x v="2"/>
    <n v="65"/>
    <n v="24"/>
    <n v="7"/>
    <n v="8"/>
    <x v="0"/>
    <n v="4.94983957799694"/>
    <x v="1"/>
    <x v="3"/>
    <n v="20"/>
    <n v="443"/>
    <n v="5"/>
    <n v="97.730593800533001"/>
    <x v="1"/>
    <x v="83"/>
    <x v="0"/>
    <s v="Route A"/>
    <n v="682.97101822609295"/>
  </r>
  <r>
    <x v="0"/>
    <x v="84"/>
    <n v="89.104367292102197"/>
    <n v="99"/>
    <n v="618"/>
    <n v="2048.2900998487098"/>
    <x v="2"/>
    <n v="73"/>
    <n v="26"/>
    <n v="80"/>
    <n v="10"/>
    <x v="1"/>
    <n v="8.3816156249226292"/>
    <x v="2"/>
    <x v="4"/>
    <n v="24"/>
    <n v="589"/>
    <n v="22"/>
    <n v="33.808636513209002"/>
    <x v="2"/>
    <x v="84"/>
    <x v="1"/>
    <s v="Route B"/>
    <n v="465.45700596368698"/>
  </r>
  <r>
    <x v="2"/>
    <x v="85"/>
    <n v="76.962994415193805"/>
    <n v="83"/>
    <n v="25"/>
    <n v="8684.6130592538502"/>
    <x v="1"/>
    <n v="15"/>
    <n v="18"/>
    <n v="66"/>
    <n v="2"/>
    <x v="2"/>
    <n v="8.2491687048717193"/>
    <x v="2"/>
    <x v="4"/>
    <n v="4"/>
    <n v="211"/>
    <n v="2"/>
    <n v="69.929345518672307"/>
    <x v="1"/>
    <x v="85"/>
    <x v="0"/>
    <s v="Route B"/>
    <n v="842.68683000464102"/>
  </r>
  <r>
    <x v="1"/>
    <x v="86"/>
    <n v="19.9981769404042"/>
    <n v="18"/>
    <n v="223"/>
    <n v="1229.59102856498"/>
    <x v="2"/>
    <n v="32"/>
    <n v="14"/>
    <n v="22"/>
    <n v="6"/>
    <x v="0"/>
    <n v="1.4543053101535499"/>
    <x v="1"/>
    <x v="0"/>
    <n v="4"/>
    <n v="569"/>
    <n v="18"/>
    <n v="74.608969995194599"/>
    <x v="2"/>
    <x v="86"/>
    <x v="2"/>
    <s v="Route A"/>
    <n v="264.25488983586598"/>
  </r>
  <r>
    <x v="0"/>
    <x v="87"/>
    <n v="80.414036650355698"/>
    <n v="24"/>
    <n v="79"/>
    <n v="5133.8467010866898"/>
    <x v="3"/>
    <n v="5"/>
    <n v="7"/>
    <n v="55"/>
    <n v="10"/>
    <x v="1"/>
    <n v="6.5758037975485299"/>
    <x v="0"/>
    <x v="4"/>
    <n v="27"/>
    <n v="523"/>
    <n v="17"/>
    <n v="28.696996824143099"/>
    <x v="1"/>
    <x v="87"/>
    <x v="3"/>
    <s v="Route B"/>
    <n v="879.35921773492396"/>
  </r>
  <r>
    <x v="2"/>
    <x v="88"/>
    <n v="75.270406975724995"/>
    <n v="58"/>
    <n v="737"/>
    <n v="9444.7420330629793"/>
    <x v="3"/>
    <n v="60"/>
    <n v="18"/>
    <n v="85"/>
    <n v="7"/>
    <x v="1"/>
    <n v="3.8012531329310701"/>
    <x v="4"/>
    <x v="0"/>
    <n v="21"/>
    <n v="953"/>
    <n v="11"/>
    <n v="68.1849190570411"/>
    <x v="0"/>
    <x v="88"/>
    <x v="3"/>
    <s v="Route A"/>
    <n v="103.916247960704"/>
  </r>
  <r>
    <x v="2"/>
    <x v="89"/>
    <n v="97.760085581938597"/>
    <n v="10"/>
    <n v="134"/>
    <n v="5924.6825668532301"/>
    <x v="2"/>
    <n v="90"/>
    <n v="1"/>
    <n v="27"/>
    <n v="8"/>
    <x v="0"/>
    <n v="9.9298162452772498"/>
    <x v="1"/>
    <x v="1"/>
    <n v="23"/>
    <n v="370"/>
    <n v="11"/>
    <n v="46.603873381644398"/>
    <x v="0"/>
    <x v="89"/>
    <x v="2"/>
    <s v="Route B"/>
    <n v="517.49997392906005"/>
  </r>
  <r>
    <x v="1"/>
    <x v="90"/>
    <n v="13.881913501359101"/>
    <n v="56"/>
    <n v="320"/>
    <n v="9592.6335702803099"/>
    <x v="0"/>
    <n v="66"/>
    <n v="18"/>
    <n v="96"/>
    <n v="7"/>
    <x v="0"/>
    <n v="7.6744307081126903"/>
    <x v="0"/>
    <x v="3"/>
    <n v="8"/>
    <n v="585"/>
    <n v="8"/>
    <n v="85.675963335797903"/>
    <x v="2"/>
    <x v="90"/>
    <x v="2"/>
    <s v="Route B"/>
    <n v="990.07847250581096"/>
  </r>
  <r>
    <x v="2"/>
    <x v="91"/>
    <n v="62.111965463961702"/>
    <n v="90"/>
    <n v="916"/>
    <n v="1935.20679350759"/>
    <x v="3"/>
    <n v="98"/>
    <n v="22"/>
    <n v="85"/>
    <n v="7"/>
    <x v="0"/>
    <n v="7.4715140844011403"/>
    <x v="3"/>
    <x v="2"/>
    <n v="5"/>
    <n v="207"/>
    <n v="28"/>
    <n v="39.772882502339897"/>
    <x v="0"/>
    <x v="91"/>
    <x v="2"/>
    <s v="Route B"/>
    <n v="996.77831495062298"/>
  </r>
  <r>
    <x v="2"/>
    <x v="92"/>
    <n v="47.714233075820196"/>
    <n v="44"/>
    <n v="276"/>
    <n v="2100.1297546259302"/>
    <x v="3"/>
    <n v="90"/>
    <n v="25"/>
    <n v="10"/>
    <n v="8"/>
    <x v="0"/>
    <n v="4.4695000261236002"/>
    <x v="4"/>
    <x v="0"/>
    <n v="4"/>
    <n v="671"/>
    <n v="29"/>
    <n v="62.612690395614301"/>
    <x v="2"/>
    <x v="92"/>
    <x v="2"/>
    <s v="Route B"/>
    <n v="230.092782536762"/>
  </r>
  <r>
    <x v="0"/>
    <x v="93"/>
    <n v="69.290831002905406"/>
    <n v="88"/>
    <n v="114"/>
    <n v="4531.4021336919004"/>
    <x v="2"/>
    <n v="63"/>
    <n v="17"/>
    <n v="66"/>
    <n v="1"/>
    <x v="2"/>
    <n v="7.00643205900439"/>
    <x v="3"/>
    <x v="4"/>
    <n v="21"/>
    <n v="824"/>
    <n v="20"/>
    <n v="35.633652343343797"/>
    <x v="1"/>
    <x v="93"/>
    <x v="1"/>
    <s v="Route A"/>
    <n v="823.52384588815505"/>
  </r>
  <r>
    <x v="2"/>
    <x v="94"/>
    <n v="3.0376887246314102"/>
    <n v="97"/>
    <n v="987"/>
    <n v="7888.3565466618702"/>
    <x v="2"/>
    <n v="77"/>
    <n v="26"/>
    <n v="72"/>
    <n v="9"/>
    <x v="0"/>
    <n v="6.9429459420325799"/>
    <x v="4"/>
    <x v="2"/>
    <n v="12"/>
    <n v="908"/>
    <n v="14"/>
    <n v="60.387378614862101"/>
    <x v="2"/>
    <x v="94"/>
    <x v="2"/>
    <s v="Route B"/>
    <n v="846.66525698669398"/>
  </r>
  <r>
    <x v="0"/>
    <x v="95"/>
    <n v="77.903927219447695"/>
    <n v="65"/>
    <n v="672"/>
    <n v="7386.3639440486604"/>
    <x v="2"/>
    <n v="15"/>
    <n v="14"/>
    <n v="26"/>
    <n v="9"/>
    <x v="0"/>
    <n v="8.6303388696027508"/>
    <x v="3"/>
    <x v="0"/>
    <n v="18"/>
    <n v="450"/>
    <n v="26"/>
    <n v="58.890685768589897"/>
    <x v="0"/>
    <x v="95"/>
    <x v="1"/>
    <s v="Route A"/>
    <n v="778.86424137664699"/>
  </r>
  <r>
    <x v="2"/>
    <x v="96"/>
    <n v="24.423131420373299"/>
    <n v="29"/>
    <n v="324"/>
    <n v="7698.4247656321104"/>
    <x v="0"/>
    <n v="67"/>
    <n v="2"/>
    <n v="32"/>
    <n v="3"/>
    <x v="2"/>
    <n v="5.3528780439967996"/>
    <x v="0"/>
    <x v="0"/>
    <n v="28"/>
    <n v="648"/>
    <n v="28"/>
    <n v="17.803756331391199"/>
    <x v="0"/>
    <x v="96"/>
    <x v="0"/>
    <s v="Route A"/>
    <n v="188.74214114905601"/>
  </r>
  <r>
    <x v="0"/>
    <x v="97"/>
    <n v="3.5261112591434101"/>
    <n v="56"/>
    <n v="62"/>
    <n v="4370.9165799845296"/>
    <x v="3"/>
    <n v="46"/>
    <n v="19"/>
    <n v="4"/>
    <n v="9"/>
    <x v="1"/>
    <n v="7.9048456112096703"/>
    <x v="3"/>
    <x v="0"/>
    <n v="10"/>
    <n v="535"/>
    <n v="13"/>
    <n v="65.765155926367399"/>
    <x v="1"/>
    <x v="97"/>
    <x v="0"/>
    <s v="Route A"/>
    <n v="540.13242286796697"/>
  </r>
  <r>
    <x v="1"/>
    <x v="98"/>
    <n v="19.754604866878601"/>
    <n v="43"/>
    <n v="913"/>
    <n v="8525.9525596835192"/>
    <x v="1"/>
    <n v="53"/>
    <n v="1"/>
    <n v="27"/>
    <n v="7"/>
    <x v="0"/>
    <n v="1.4098010951380699"/>
    <x v="2"/>
    <x v="4"/>
    <n v="28"/>
    <n v="581"/>
    <n v="9"/>
    <n v="5.6046908643717801"/>
    <x v="0"/>
    <x v="98"/>
    <x v="2"/>
    <s v="Route A"/>
    <n v="882.19886354704101"/>
  </r>
  <r>
    <x v="0"/>
    <x v="99"/>
    <n v="68.517832699276596"/>
    <n v="17"/>
    <n v="627"/>
    <n v="9185.1858291817007"/>
    <x v="2"/>
    <n v="55"/>
    <n v="8"/>
    <n v="59"/>
    <n v="6"/>
    <x v="0"/>
    <n v="1.3110237561206199"/>
    <x v="4"/>
    <x v="4"/>
    <n v="29"/>
    <n v="921"/>
    <n v="2"/>
    <n v="38.072898520625998"/>
    <x v="1"/>
    <x v="99"/>
    <x v="2"/>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8EF86-F278-4467-AD7B-B7C4609275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A9" firstHeaderRow="1" firstDataRow="1" firstDataCol="0"/>
  <pivotFields count="2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ric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FFC65D-CE1B-495D-B8BC-1C136F4A90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9:C10"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Defect rates"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439729-CDDF-4333-AF52-D4D6591419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A15" firstHeaderRow="1" firstDataRow="1" firstDataCol="0"/>
  <pivotFields count="2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Lead times"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0FDF79-6B9F-4439-936D-4A36605421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24">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Revenue generat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CEE1C4-EA9F-4078-BEF7-7993B11190D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9:M23" firstHeaderRow="1" firstDataRow="1" firstDataCol="1"/>
  <pivotFields count="24">
    <pivotField showAll="0">
      <items count="4">
        <item x="2"/>
        <item x="0"/>
        <item x="1"/>
        <item t="default"/>
      </items>
    </pivotField>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19"/>
  </rowFields>
  <rowItems count="4">
    <i>
      <x/>
    </i>
    <i>
      <x v="1"/>
    </i>
    <i>
      <x v="2"/>
    </i>
    <i t="grand">
      <x/>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54A6A3-8D47-4634-A022-8D2C52B9563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9:J35" firstHeaderRow="1" firstDataRow="1" firstDataCol="1"/>
  <pivotFields count="24">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axis="axisRow" showAll="0">
      <items count="6">
        <item x="3"/>
        <item x="4"/>
        <item x="2"/>
        <item x="1"/>
        <item x="0"/>
        <item t="default"/>
      </items>
    </pivotField>
    <pivotField showAll="0"/>
    <pivotField showAll="0"/>
    <pivotField showAll="0"/>
    <pivotField showAll="0"/>
    <pivotField showAll="0"/>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14"/>
  </rowFields>
  <rowItems count="6">
    <i>
      <x/>
    </i>
    <i>
      <x v="1"/>
    </i>
    <i>
      <x v="2"/>
    </i>
    <i>
      <x v="3"/>
    </i>
    <i>
      <x v="4"/>
    </i>
    <i t="grand">
      <x/>
    </i>
  </rowItems>
  <colItems count="1">
    <i/>
  </colItems>
  <dataFields count="1">
    <dataField name="Sum of Revenue generated" fld="5"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1AC105-EE31-4B37-AB70-52D75C4AA1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24">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umber of products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89A5DF-A5F4-42E7-A64F-2310EE00D5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1:F15" firstHeaderRow="1" firstDataRow="1" firstDataCol="1"/>
  <pivotFields count="24">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949B62-2878-42BE-96B4-0C77B67375B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6:G32" firstHeaderRow="0" firstDataRow="1" firstDataCol="1"/>
  <pivotFields count="24">
    <pivotField showAll="0">
      <items count="4">
        <item x="2"/>
        <item x="0"/>
        <item x="1"/>
        <item t="default"/>
      </items>
    </pivotField>
    <pivotField showAll="0"/>
    <pivotField showAll="0"/>
    <pivotField showAll="0"/>
    <pivotField showAll="0"/>
    <pivotField dataField="1" showAll="0"/>
    <pivotField showAll="0">
      <items count="5">
        <item x="1"/>
        <item x="3"/>
        <item x="0"/>
        <item x="2"/>
        <item t="default"/>
      </items>
    </pivotField>
    <pivotField showAll="0"/>
    <pivotField dataField="1"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2"/>
  </colFields>
  <colItems count="2">
    <i>
      <x/>
    </i>
    <i i="1">
      <x v="1"/>
    </i>
  </colItems>
  <dataFields count="2">
    <dataField name="Sum of Revenue generated" fld="5" baseField="0" baseItem="0"/>
    <dataField name="Average of Lead times" fld="8" subtotal="average" baseField="13"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7260FE-DBCC-4687-BE1C-B96185B1406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1:J25" firstHeaderRow="1" firstDataRow="1" firstDataCol="1"/>
  <pivotFields count="24">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dataField="1"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0"/>
  </rowFields>
  <rowItems count="4">
    <i>
      <x/>
    </i>
    <i>
      <x v="1"/>
    </i>
    <i>
      <x v="2"/>
    </i>
    <i t="grand">
      <x/>
    </i>
  </rowItems>
  <colItems count="1">
    <i/>
  </colItems>
  <dataFields count="1">
    <dataField name="Average of Defect rates" fld="20"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61CE4C-A4F8-4C4B-9736-B77259D499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F8" firstHeaderRow="1" firstDataRow="1" firstDataCol="1"/>
  <pivotFields count="24">
    <pivotField axis="axisRow" showAll="0">
      <items count="4">
        <item x="2"/>
        <item x="0"/>
        <item x="1"/>
        <item t="default"/>
      </items>
    </pivotField>
    <pivotField showAll="0"/>
    <pivotField showAll="0"/>
    <pivotField showAll="0"/>
    <pivotField showAll="0"/>
    <pivotField dataField="1"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items count="5">
        <item x="1"/>
        <item x="2"/>
        <item x="0"/>
        <item x="3"/>
        <item t="default"/>
      </items>
    </pivotField>
    <pivotField showAll="0"/>
    <pivotField showAll="0"/>
  </pivotFields>
  <rowFields count="1">
    <field x="0"/>
  </rowFields>
  <rowItems count="4">
    <i>
      <x/>
    </i>
    <i>
      <x v="1"/>
    </i>
    <i>
      <x v="2"/>
    </i>
    <i t="grand">
      <x/>
    </i>
  </rowItems>
  <colItems count="1">
    <i/>
  </colItems>
  <dataFields count="1">
    <dataField name="Sum of Revenue generated" fld="5"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25F4A0-6F3C-4122-849B-CDE9A831B06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4:M8"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showAll="0"/>
    <pivotField showAll="0"/>
    <pivotField showAll="0"/>
    <pivotField showAll="0"/>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11"/>
  </rowFields>
  <rowItems count="4">
    <i>
      <x/>
    </i>
    <i>
      <x v="1"/>
    </i>
    <i>
      <x v="2"/>
    </i>
    <i t="grand">
      <x/>
    </i>
  </rowItems>
  <colItems count="1">
    <i/>
  </colItems>
  <dataFields count="1">
    <dataField name="Average of Shipping costs" fld="12"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DB1A9B-F064-4715-846B-2CD9563DE58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6:N30" firstHeaderRow="0" firstDataRow="1" firstDataCol="1"/>
  <pivotFields count="24">
    <pivotField axis="axisRow"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dataField="1" showAll="0"/>
    <pivotField showAll="0"/>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Average of Stock levels" fld="7" subtotal="average" baseField="0" baseItem="0"/>
    <dataField name="Average of Availability"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F777BD-A93C-4C1E-89DB-239C2F2068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8:F23" firstHeaderRow="1" firstDataRow="1" firstDataCol="1"/>
  <pivotFields count="24">
    <pivotField showAll="0">
      <items count="4">
        <item x="2"/>
        <item x="0"/>
        <item x="1"/>
        <item t="default"/>
      </items>
    </pivotField>
    <pivotField showAll="0"/>
    <pivotField showAll="0"/>
    <pivotField showAll="0"/>
    <pivotField showAll="0"/>
    <pivotField dataField="1"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Revenue generated" fld="5" baseField="0" baseItem="0"/>
  </dataFields>
  <chartFormats count="15">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6" count="1" selected="0">
            <x v="0"/>
          </reference>
        </references>
      </pivotArea>
    </chartFormat>
    <chartFormat chart="8" format="18">
      <pivotArea type="data" outline="0" fieldPosition="0">
        <references count="2">
          <reference field="4294967294" count="1" selected="0">
            <x v="0"/>
          </reference>
          <reference field="6" count="1" selected="0">
            <x v="1"/>
          </reference>
        </references>
      </pivotArea>
    </chartFormat>
    <chartFormat chart="8" format="19">
      <pivotArea type="data" outline="0" fieldPosition="0">
        <references count="2">
          <reference field="4294967294" count="1" selected="0">
            <x v="0"/>
          </reference>
          <reference field="6" count="1" selected="0">
            <x v="2"/>
          </reference>
        </references>
      </pivotArea>
    </chartFormat>
    <chartFormat chart="8"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4F8C7E-1B2B-4BFA-BD0D-98C208E7B5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5:C16"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hipping cost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1471C55-878F-4C0B-8E77-102A92BA037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1:J17"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dataField="1"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13"/>
  </rowFields>
  <rowItems count="6">
    <i>
      <x/>
    </i>
    <i>
      <x v="1"/>
    </i>
    <i>
      <x v="2"/>
    </i>
    <i>
      <x v="3"/>
    </i>
    <i>
      <x v="4"/>
    </i>
    <i t="grand">
      <x/>
    </i>
  </rowItems>
  <colItems count="1">
    <i/>
  </colItems>
  <dataFields count="1">
    <dataField name="Average of Defect rates" fld="20" subtotal="average" baseField="13"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4F6DD38-0981-4473-AF5E-FB264EC6FA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4:J8" firstHeaderRow="1" firstDataRow="1" firstDataCol="1"/>
  <pivotFields count="24">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pivotField showAll="0"/>
    <pivotField showAll="0"/>
  </pivotFields>
  <rowFields count="1">
    <field x="0"/>
  </rowFields>
  <rowItems count="4">
    <i>
      <x/>
    </i>
    <i>
      <x v="1"/>
    </i>
    <i>
      <x v="2"/>
    </i>
    <i t="grand">
      <x/>
    </i>
  </rowItems>
  <colItems count="1">
    <i/>
  </colItems>
  <dataFields count="1">
    <dataField name="Sum of Manufacturing cos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433F76-A394-4219-B887-D2BCD6FE9B6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1:N16" firstHeaderRow="0"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axis="axisRow" showAll="0">
      <items count="5">
        <item x="1"/>
        <item x="2"/>
        <item x="0"/>
        <item x="3"/>
        <item t="default"/>
      </items>
    </pivotField>
    <pivotField showAll="0"/>
    <pivotField showAll="0"/>
  </pivotFields>
  <rowFields count="1">
    <field x="21"/>
  </rowFields>
  <rowItems count="5">
    <i>
      <x/>
    </i>
    <i>
      <x v="1"/>
    </i>
    <i>
      <x v="2"/>
    </i>
    <i>
      <x v="3"/>
    </i>
    <i t="grand">
      <x/>
    </i>
  </rowItems>
  <colFields count="1">
    <field x="-2"/>
  </colFields>
  <colItems count="2">
    <i>
      <x/>
    </i>
    <i i="1">
      <x v="1"/>
    </i>
  </colItems>
  <dataFields count="2">
    <dataField name="Average of Shipping costs" fld="12" subtotal="average" baseField="11" baseItem="0"/>
    <dataField name="Average of Shipping times" fld="10" subtotal="average" baseField="21"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1F975F25-1992-4050-AA0B-7304738BDF5E}" sourceName="Product type">
  <pivotTables>
    <pivotTable tabId="5" name="PivotTable8"/>
  </pivotTables>
  <data>
    <tabular pivotCacheId="95087537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0D741596-07CD-4238-AE48-FEF45DCBEC24}" sourceName="Customer demographics">
  <pivotTables>
    <pivotTable tabId="5" name="PivotTable8"/>
  </pivotTables>
  <data>
    <tabular pivotCacheId="950875370">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199171C5-9A56-4BA5-BD1E-1BBE6E28A85E}" sourceName="Shipping carriers">
  <pivotTables>
    <pivotTable tabId="5" name="PivotTable8"/>
  </pivotTables>
  <data>
    <tabular pivotCacheId="95087537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E570AB37-D5CF-405A-BAE2-1D2726E0041C}" sourceName="Supplier name">
  <pivotTables>
    <pivotTable tabId="5" name="PivotTable8"/>
  </pivotTables>
  <data>
    <tabular pivotCacheId="950875370">
      <items count="5">
        <i x="1" s="1"/>
        <i x="4"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F102CB5-296D-4FC5-BF1B-72D0DE263678}" sourceName="Location">
  <pivotTables>
    <pivotTable tabId="5" name="PivotTable8"/>
  </pivotTables>
  <data>
    <tabular pivotCacheId="950875370">
      <items count="5">
        <i x="3" s="1"/>
        <i x="4"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5BFC0A45-74FA-4D02-9975-5E581AE59324}" sourceName="Transportation modes">
  <pivotTables>
    <pivotTable tabId="5" name="PivotTable8"/>
  </pivotTables>
  <data>
    <tabular pivotCacheId="950875370">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DA65ADDA-C30B-4324-A492-C0BD368926B1}" cache="Slicer_Product_type" caption="Product type" rowHeight="234950"/>
  <slicer name="Customer demographics" xr10:uid="{EC868745-D959-41B9-B768-3276A74B2DF7}" cache="Slicer_Customer_demographics" caption="Customer demographics" rowHeight="234950"/>
  <slicer name="Shipping carriers" xr10:uid="{63ACDE7F-F72E-4BE2-A205-43C3683A0101}" cache="Slicer_Shipping_carriers" caption="Shipping carriers" rowHeight="234950"/>
  <slicer name="Supplier name" xr10:uid="{3E4152C5-8CB8-4F23-9E7D-F240CB805C64}" cache="Slicer_Supplier_name" caption="Supplier name" rowHeight="234950"/>
  <slicer name="Location" xr10:uid="{E30F31DA-F364-4234-8189-653A42B9C450}" cache="Slicer_Location" caption="Location" rowHeight="234950"/>
  <slicer name="Transportation modes" xr10:uid="{EAB7A77E-0724-4757-B4F1-A3AAF2948B92}" cache="Slicer_Transportation_modes" caption="Transportation mod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E9EC3F3F-98E2-4F0F-A10A-EFF833D7669B}" cache="Slicer_Product_type" caption="Product type" rowHeight="234950"/>
  <slicer name="Customer demographics 1" xr10:uid="{02AF2535-E1CA-48C7-BB7F-D32B68060F81}" cache="Slicer_Customer_demographics" caption="Customer demographics" rowHeight="234950"/>
  <slicer name="Shipping carriers 1" xr10:uid="{2396F8AA-A05F-4B85-A889-D8968557AB52}" cache="Slicer_Shipping_carriers" caption="Shipping carriers" rowHeight="234950"/>
  <slicer name="Supplier name 1" xr10:uid="{B90ABCCB-214D-4BC0-8999-A0EC20028534}" cache="Slicer_Supplier_name" caption="Supplier name" rowHeight="234950"/>
  <slicer name="Location 1" xr10:uid="{C38AC518-792E-4AA3-B13A-248C026B6E98}" cache="Slicer_Location" caption="Location" rowHeight="234950"/>
  <slicer name="Transportation modes 1" xr10:uid="{C33C1CD3-827D-4D59-86DF-BB9F9ADC9726}" cache="Slicer_Transportation_modes" caption="Transportation mode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2" xr10:uid="{79FF2703-87F3-44B6-B376-39AE70540FA2}" cache="Slicer_Product_type" caption="Product type" rowHeight="234950"/>
  <slicer name="Customer demographics 2" xr10:uid="{18E789C4-9319-459A-81B2-24A9DCFD5C1D}" cache="Slicer_Customer_demographics" caption="Customer demographics" rowHeight="234950"/>
  <slicer name="Shipping carriers 2" xr10:uid="{E48995D6-4306-4204-B24E-417B82B227DA}" cache="Slicer_Shipping_carriers" caption="Shipping carriers" rowHeight="234950"/>
  <slicer name="Supplier name 2" xr10:uid="{EE3308B6-0F1E-42EE-9C75-A9D1064CFB6E}" cache="Slicer_Supplier_name" caption="Supplier name" rowHeight="234950"/>
  <slicer name="Location 2" xr10:uid="{51095829-A099-4255-BD6D-4EBC9196A74D}" cache="Slicer_Location" caption="Location"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F65E89-A4B4-41C9-ACAE-A8F3C2AAD9BF}" name="Table1" displayName="Table1" ref="A1:X101" totalsRowShown="0">
  <autoFilter ref="A1:X101" xr:uid="{EEF65E89-A4B4-41C9-ACAE-A8F3C2AAD9BF}">
    <filterColumn colId="6">
      <filters>
        <filter val="Female"/>
        <filter val="Male"/>
        <filter val="Unknown"/>
      </filters>
    </filterColumn>
  </autoFilter>
  <tableColumns count="24">
    <tableColumn id="1" xr3:uid="{1FB187EC-7497-4E13-B995-DCB5FBA0ED10}" name="Product type"/>
    <tableColumn id="2" xr3:uid="{1C8A2D6C-D6A9-4502-98D0-6F7F0F9CF634}" name="SKU"/>
    <tableColumn id="3" xr3:uid="{A32A3C36-F9CE-4BD5-B31E-5F9E617C0A21}" name="Price"/>
    <tableColumn id="4" xr3:uid="{2A838CED-5168-42B5-89D8-13BDA54B6C68}" name="Availability"/>
    <tableColumn id="5" xr3:uid="{A8B3B98C-3349-4ADC-B438-AFAAD374DD07}" name="Number of products sold"/>
    <tableColumn id="6" xr3:uid="{A4D86A80-9770-433C-8F69-02F478CB2DC4}" name="Revenue generated"/>
    <tableColumn id="7" xr3:uid="{8BE9DD6E-570D-4D58-90A3-D2AD6DF7C345}" name="Customer demographics"/>
    <tableColumn id="8" xr3:uid="{92493CA8-A361-4CB8-8672-137751FC9EB5}" name="Stock levels"/>
    <tableColumn id="9" xr3:uid="{B51305BA-A31A-4F1B-A99D-3B75401F0FFF}" name="Lead times"/>
    <tableColumn id="10" xr3:uid="{5EC34FE5-4151-48A7-BFF4-F6B13B5F0A18}" name="Order quantities"/>
    <tableColumn id="11" xr3:uid="{787562E8-7FF6-4AF1-9984-FECF17B6DF22}" name="Shipping times"/>
    <tableColumn id="12" xr3:uid="{14B7F270-D716-49D9-95CE-E2560D490CC1}" name="Shipping carriers"/>
    <tableColumn id="13" xr3:uid="{AC0A2AB9-B71E-4DBF-8A2D-6DF7061E9CA2}" name="Shipping costs"/>
    <tableColumn id="14" xr3:uid="{2D0EADDE-CF65-4C66-9570-BFC52CB5B947}" name="Supplier name"/>
    <tableColumn id="15" xr3:uid="{0D999C38-4AA5-4330-827D-A09536C09E75}" name="Location"/>
    <tableColumn id="16" xr3:uid="{70CB5CD5-4C84-42E3-9D17-A64207705E6A}" name="Lead time"/>
    <tableColumn id="17" xr3:uid="{93B0E2EF-22CE-49F3-BA5F-75B23FD129DA}" name="Production volumes"/>
    <tableColumn id="18" xr3:uid="{A8BD9780-086C-46FA-91EE-6D49385C6963}" name="Manufacturing lead time"/>
    <tableColumn id="19" xr3:uid="{6FA8EB2D-1B40-4691-B2F2-DEAE3B49AD44}" name="Manufacturing costs"/>
    <tableColumn id="20" xr3:uid="{38C35B09-B123-4115-B53C-BF9F9FCD6FDB}" name="Inspection results"/>
    <tableColumn id="21" xr3:uid="{4E242CCB-F260-4710-A324-E1267FA842A3}" name="Defect rates"/>
    <tableColumn id="22" xr3:uid="{A4374B43-E793-4160-A983-086CBE07BF33}" name="Transportation modes"/>
    <tableColumn id="23" xr3:uid="{7F852D76-20C9-41DA-9C48-93E6DDE412AE}" name="Routes"/>
    <tableColumn id="24" xr3:uid="{A208CE83-8342-4B89-A316-25AD41232691}" name="Co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34B2-3426-4E94-BC27-095CD24029EB}">
  <dimension ref="A3:N35"/>
  <sheetViews>
    <sheetView workbookViewId="0"/>
  </sheetViews>
  <sheetFormatPr defaultRowHeight="14.4" x14ac:dyDescent="0.3"/>
  <cols>
    <col min="1" max="1" width="19.77734375" bestFit="1" customWidth="1"/>
    <col min="2" max="2" width="16.5546875" bestFit="1" customWidth="1"/>
    <col min="3" max="3" width="22.88671875" bestFit="1" customWidth="1"/>
    <col min="4" max="4" width="19.6640625" bestFit="1" customWidth="1"/>
    <col min="5" max="5" width="12.5546875" bestFit="1" customWidth="1"/>
    <col min="6" max="6" width="24.109375" bestFit="1" customWidth="1"/>
    <col min="7" max="7" width="19.77734375" bestFit="1" customWidth="1"/>
    <col min="9" max="9" width="12.5546875" bestFit="1" customWidth="1"/>
    <col min="10" max="11" width="24.109375" bestFit="1" customWidth="1"/>
    <col min="12" max="12" width="12.5546875" bestFit="1" customWidth="1"/>
    <col min="13" max="13" width="20.5546875" bestFit="1" customWidth="1"/>
    <col min="14" max="14" width="20" bestFit="1" customWidth="1"/>
  </cols>
  <sheetData>
    <row r="3" spans="1:14" x14ac:dyDescent="0.3">
      <c r="A3" t="s">
        <v>154</v>
      </c>
      <c r="C3" t="s">
        <v>156</v>
      </c>
      <c r="E3" t="s">
        <v>161</v>
      </c>
      <c r="I3" t="s">
        <v>167</v>
      </c>
      <c r="L3" t="s">
        <v>172</v>
      </c>
    </row>
    <row r="4" spans="1:14" x14ac:dyDescent="0.3">
      <c r="A4">
        <v>577604.81873800792</v>
      </c>
      <c r="C4">
        <v>100</v>
      </c>
      <c r="E4" s="1" t="s">
        <v>162</v>
      </c>
      <c r="F4" t="s">
        <v>154</v>
      </c>
      <c r="I4" s="1" t="s">
        <v>162</v>
      </c>
      <c r="J4" t="s">
        <v>168</v>
      </c>
      <c r="L4" s="1" t="s">
        <v>162</v>
      </c>
      <c r="M4" t="s">
        <v>160</v>
      </c>
    </row>
    <row r="5" spans="1:14" x14ac:dyDescent="0.3">
      <c r="A5">
        <f>GETPIVOTDATA("Revenue generated",$A$3)</f>
        <v>577604.81873800792</v>
      </c>
      <c r="C5">
        <f>GETPIVOTDATA("Number of products sold",$C$3)</f>
        <v>100</v>
      </c>
      <c r="E5" s="2" t="s">
        <v>57</v>
      </c>
      <c r="F5" s="3">
        <v>161521.26599948306</v>
      </c>
      <c r="I5" s="2" t="s">
        <v>57</v>
      </c>
      <c r="J5">
        <v>1119.3712529088277</v>
      </c>
      <c r="L5" s="2" t="s">
        <v>36</v>
      </c>
      <c r="M5">
        <v>5.5549225216512665</v>
      </c>
    </row>
    <row r="6" spans="1:14" x14ac:dyDescent="0.3">
      <c r="E6" s="2" t="s">
        <v>24</v>
      </c>
      <c r="F6" s="3">
        <v>174455.39060546222</v>
      </c>
      <c r="I6" s="2" t="s">
        <v>24</v>
      </c>
      <c r="J6">
        <v>1647.5717763013254</v>
      </c>
      <c r="L6" s="2" t="s">
        <v>27</v>
      </c>
      <c r="M6">
        <v>5.5092469689287276</v>
      </c>
    </row>
    <row r="7" spans="1:14" x14ac:dyDescent="0.3">
      <c r="E7" s="2" t="s">
        <v>33</v>
      </c>
      <c r="F7" s="3">
        <v>241628.16213306302</v>
      </c>
      <c r="I7" s="2" t="s">
        <v>33</v>
      </c>
      <c r="J7">
        <v>1959.7262949368351</v>
      </c>
      <c r="L7" s="2" t="s">
        <v>43</v>
      </c>
      <c r="M7">
        <v>5.5992916183375021</v>
      </c>
    </row>
    <row r="8" spans="1:14" x14ac:dyDescent="0.3">
      <c r="A8" t="s">
        <v>157</v>
      </c>
      <c r="E8" s="2" t="s">
        <v>163</v>
      </c>
      <c r="F8" s="3">
        <v>577604.81873800838</v>
      </c>
      <c r="I8" s="2" t="s">
        <v>163</v>
      </c>
      <c r="J8">
        <v>4726.6693241469884</v>
      </c>
      <c r="L8" s="2" t="s">
        <v>163</v>
      </c>
      <c r="M8">
        <v>5.5481490720195845</v>
      </c>
    </row>
    <row r="9" spans="1:14" x14ac:dyDescent="0.3">
      <c r="A9">
        <v>49.462461344643671</v>
      </c>
      <c r="C9" t="s">
        <v>158</v>
      </c>
    </row>
    <row r="10" spans="1:14" x14ac:dyDescent="0.3">
      <c r="A10">
        <f>GETPIVOTDATA("Price",$A$8)</f>
        <v>49.462461344643671</v>
      </c>
      <c r="C10">
        <v>2.2771579927396073</v>
      </c>
      <c r="E10" t="s">
        <v>165</v>
      </c>
      <c r="I10" t="s">
        <v>169</v>
      </c>
      <c r="L10" t="s">
        <v>173</v>
      </c>
    </row>
    <row r="11" spans="1:14" x14ac:dyDescent="0.3">
      <c r="C11">
        <f>GETPIVOTDATA("Defect rates",$C$9)</f>
        <v>2.2771579927396073</v>
      </c>
      <c r="E11" s="1" t="s">
        <v>162</v>
      </c>
      <c r="F11" t="s">
        <v>155</v>
      </c>
      <c r="I11" s="1" t="s">
        <v>162</v>
      </c>
      <c r="J11" t="s">
        <v>158</v>
      </c>
      <c r="L11" s="1" t="s">
        <v>162</v>
      </c>
      <c r="M11" t="s">
        <v>160</v>
      </c>
      <c r="N11" t="s">
        <v>174</v>
      </c>
    </row>
    <row r="12" spans="1:14" x14ac:dyDescent="0.3">
      <c r="E12" s="2" t="s">
        <v>57</v>
      </c>
      <c r="F12">
        <v>11757</v>
      </c>
      <c r="I12" s="2" t="s">
        <v>39</v>
      </c>
      <c r="J12">
        <v>1.8036297116882485</v>
      </c>
      <c r="L12" s="2" t="s">
        <v>40</v>
      </c>
      <c r="M12">
        <v>6.0178393777286159</v>
      </c>
      <c r="N12">
        <v>5.115384615384615</v>
      </c>
    </row>
    <row r="13" spans="1:14" x14ac:dyDescent="0.3">
      <c r="E13" s="2" t="s">
        <v>24</v>
      </c>
      <c r="F13">
        <v>13611</v>
      </c>
      <c r="I13" s="2" t="s">
        <v>61</v>
      </c>
      <c r="J13">
        <v>2.3627501450718764</v>
      </c>
      <c r="L13" s="2" t="s">
        <v>47</v>
      </c>
      <c r="M13">
        <v>5.4690979361028562</v>
      </c>
      <c r="N13">
        <v>6.5714285714285712</v>
      </c>
    </row>
    <row r="14" spans="1:14" x14ac:dyDescent="0.3">
      <c r="A14" t="s">
        <v>159</v>
      </c>
      <c r="E14" s="2" t="s">
        <v>33</v>
      </c>
      <c r="F14">
        <v>20731</v>
      </c>
      <c r="I14" s="2" t="s">
        <v>28</v>
      </c>
      <c r="J14">
        <v>2.4657860307644657</v>
      </c>
      <c r="L14" s="2" t="s">
        <v>31</v>
      </c>
      <c r="M14">
        <v>5.542115390045792</v>
      </c>
      <c r="N14">
        <v>4.7241379310344831</v>
      </c>
    </row>
    <row r="15" spans="1:14" x14ac:dyDescent="0.3">
      <c r="A15">
        <v>15.96</v>
      </c>
      <c r="C15" t="s">
        <v>160</v>
      </c>
      <c r="E15" s="2" t="s">
        <v>163</v>
      </c>
      <c r="F15">
        <v>46099</v>
      </c>
      <c r="I15" s="2" t="s">
        <v>52</v>
      </c>
      <c r="J15">
        <v>2.3373974005913354</v>
      </c>
      <c r="L15" s="2" t="s">
        <v>56</v>
      </c>
      <c r="M15">
        <v>4.9702938152238989</v>
      </c>
      <c r="N15">
        <v>7.117647058823529</v>
      </c>
    </row>
    <row r="16" spans="1:14" x14ac:dyDescent="0.3">
      <c r="A16">
        <f>GETPIVOTDATA("Lead times",$A$14)</f>
        <v>15.96</v>
      </c>
      <c r="C16">
        <v>5.5481490720195836</v>
      </c>
      <c r="I16" s="2" t="s">
        <v>44</v>
      </c>
      <c r="J16">
        <v>2.6654083441491982</v>
      </c>
      <c r="L16" s="2" t="s">
        <v>163</v>
      </c>
      <c r="M16">
        <v>5.548149072019581</v>
      </c>
      <c r="N16">
        <v>5.75</v>
      </c>
    </row>
    <row r="17" spans="3:14" x14ac:dyDescent="0.3">
      <c r="C17">
        <f>GETPIVOTDATA("Shipping costs",$C$15)</f>
        <v>5.5481490720195836</v>
      </c>
      <c r="E17" t="s">
        <v>164</v>
      </c>
      <c r="I17" s="2" t="s">
        <v>163</v>
      </c>
      <c r="J17">
        <v>2.2771579927396055</v>
      </c>
    </row>
    <row r="18" spans="3:14" x14ac:dyDescent="0.3">
      <c r="E18" s="1" t="s">
        <v>162</v>
      </c>
      <c r="F18" t="s">
        <v>154</v>
      </c>
      <c r="L18" t="s">
        <v>175</v>
      </c>
    </row>
    <row r="19" spans="3:14" x14ac:dyDescent="0.3">
      <c r="E19" s="2" t="s">
        <v>35</v>
      </c>
      <c r="F19">
        <v>161514.48912163053</v>
      </c>
      <c r="L19" s="1" t="s">
        <v>162</v>
      </c>
      <c r="M19" t="s">
        <v>176</v>
      </c>
    </row>
    <row r="20" spans="3:14" x14ac:dyDescent="0.3">
      <c r="E20" s="2" t="s">
        <v>55</v>
      </c>
      <c r="F20">
        <v>126634.3942597939</v>
      </c>
      <c r="I20" t="s">
        <v>170</v>
      </c>
      <c r="L20" s="2" t="s">
        <v>46</v>
      </c>
      <c r="M20">
        <v>36</v>
      </c>
    </row>
    <row r="21" spans="3:14" x14ac:dyDescent="0.3">
      <c r="E21" s="2" t="s">
        <v>26</v>
      </c>
      <c r="F21">
        <v>116365.80151960922</v>
      </c>
      <c r="I21" s="1" t="s">
        <v>162</v>
      </c>
      <c r="J21" t="s">
        <v>158</v>
      </c>
      <c r="L21" s="2" t="s">
        <v>64</v>
      </c>
      <c r="M21">
        <v>23</v>
      </c>
    </row>
    <row r="22" spans="3:14" x14ac:dyDescent="0.3">
      <c r="E22" s="2" t="s">
        <v>38</v>
      </c>
      <c r="F22">
        <v>173090.13383697456</v>
      </c>
      <c r="I22" s="2" t="s">
        <v>57</v>
      </c>
      <c r="J22">
        <v>1.9192869782813149</v>
      </c>
      <c r="L22" s="2" t="s">
        <v>30</v>
      </c>
      <c r="M22">
        <v>41</v>
      </c>
    </row>
    <row r="23" spans="3:14" x14ac:dyDescent="0.3">
      <c r="E23" s="2" t="s">
        <v>163</v>
      </c>
      <c r="F23">
        <v>577604.81873800815</v>
      </c>
      <c r="I23" s="2" t="s">
        <v>24</v>
      </c>
      <c r="J23">
        <v>2.4831501929246214</v>
      </c>
      <c r="L23" s="2" t="s">
        <v>163</v>
      </c>
      <c r="M23">
        <v>100</v>
      </c>
    </row>
    <row r="24" spans="3:14" x14ac:dyDescent="0.3">
      <c r="I24" s="2" t="s">
        <v>33</v>
      </c>
      <c r="J24">
        <v>2.3346807819802327</v>
      </c>
    </row>
    <row r="25" spans="3:14" x14ac:dyDescent="0.3">
      <c r="E25" t="s">
        <v>166</v>
      </c>
      <c r="I25" s="2" t="s">
        <v>163</v>
      </c>
      <c r="J25">
        <v>2.277157992739606</v>
      </c>
      <c r="L25" t="s">
        <v>177</v>
      </c>
    </row>
    <row r="26" spans="3:14" x14ac:dyDescent="0.3">
      <c r="E26" s="1" t="s">
        <v>162</v>
      </c>
      <c r="F26" t="s">
        <v>154</v>
      </c>
      <c r="G26" t="s">
        <v>159</v>
      </c>
      <c r="L26" s="1" t="s">
        <v>162</v>
      </c>
      <c r="M26" t="s">
        <v>178</v>
      </c>
      <c r="N26" t="s">
        <v>179</v>
      </c>
    </row>
    <row r="27" spans="3:14" x14ac:dyDescent="0.3">
      <c r="E27" s="2" t="s">
        <v>39</v>
      </c>
      <c r="F27">
        <v>157528.99503945635</v>
      </c>
      <c r="G27">
        <v>16.777777777777779</v>
      </c>
      <c r="L27" s="2" t="s">
        <v>57</v>
      </c>
      <c r="M27">
        <v>58.653846153846153</v>
      </c>
      <c r="N27">
        <v>51.230769230769234</v>
      </c>
    </row>
    <row r="28" spans="3:14" x14ac:dyDescent="0.3">
      <c r="E28" s="2" t="s">
        <v>61</v>
      </c>
      <c r="F28">
        <v>125467.41860530026</v>
      </c>
      <c r="G28">
        <v>16.227272727272727</v>
      </c>
      <c r="I28" t="s">
        <v>171</v>
      </c>
      <c r="L28" s="2" t="s">
        <v>24</v>
      </c>
      <c r="M28">
        <v>48.352941176470587</v>
      </c>
      <c r="N28">
        <v>43.264705882352942</v>
      </c>
    </row>
    <row r="29" spans="3:14" x14ac:dyDescent="0.3">
      <c r="E29" s="2" t="s">
        <v>28</v>
      </c>
      <c r="F29">
        <v>97795.979638162171</v>
      </c>
      <c r="G29">
        <v>14.333333333333334</v>
      </c>
      <c r="I29" s="1" t="s">
        <v>162</v>
      </c>
      <c r="J29" t="s">
        <v>154</v>
      </c>
      <c r="L29" s="2" t="s">
        <v>33</v>
      </c>
      <c r="M29">
        <v>40.200000000000003</v>
      </c>
      <c r="N29">
        <v>50.924999999999997</v>
      </c>
    </row>
    <row r="30" spans="3:14" x14ac:dyDescent="0.3">
      <c r="E30" s="2" t="s">
        <v>52</v>
      </c>
      <c r="F30">
        <v>86468.961798802658</v>
      </c>
      <c r="G30">
        <v>17</v>
      </c>
      <c r="I30" s="2" t="s">
        <v>53</v>
      </c>
      <c r="J30">
        <v>102601.72388223567</v>
      </c>
      <c r="L30" s="2" t="s">
        <v>163</v>
      </c>
      <c r="M30">
        <v>47.77</v>
      </c>
      <c r="N30">
        <v>48.4</v>
      </c>
    </row>
    <row r="31" spans="3:14" x14ac:dyDescent="0.3">
      <c r="E31" s="2" t="s">
        <v>44</v>
      </c>
      <c r="F31">
        <v>110343.46365628684</v>
      </c>
      <c r="G31">
        <v>14.722222222222221</v>
      </c>
      <c r="I31" s="2" t="s">
        <v>62</v>
      </c>
      <c r="J31">
        <v>119142.8157480693</v>
      </c>
    </row>
    <row r="32" spans="3:14" x14ac:dyDescent="0.3">
      <c r="E32" s="2" t="s">
        <v>163</v>
      </c>
      <c r="F32">
        <v>577604.8187380085</v>
      </c>
      <c r="G32">
        <v>15.96</v>
      </c>
      <c r="I32" s="2" t="s">
        <v>50</v>
      </c>
      <c r="J32">
        <v>81027.701224852935</v>
      </c>
    </row>
    <row r="33" spans="9:10" x14ac:dyDescent="0.3">
      <c r="I33" s="2" t="s">
        <v>45</v>
      </c>
      <c r="J33">
        <v>137077.55100538101</v>
      </c>
    </row>
    <row r="34" spans="9:10" x14ac:dyDescent="0.3">
      <c r="I34" s="2" t="s">
        <v>29</v>
      </c>
      <c r="J34">
        <v>137755.02687746932</v>
      </c>
    </row>
    <row r="35" spans="9:10" x14ac:dyDescent="0.3">
      <c r="I35" s="2" t="s">
        <v>163</v>
      </c>
      <c r="J35">
        <v>577604.81873800815</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0AA9-F1C7-4AD2-B05D-7E60E5914540}">
  <dimension ref="A1"/>
  <sheetViews>
    <sheetView showGridLines="0" workbookViewId="0">
      <selection activeCell="F4" sqref="F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0515-EC7D-4838-9458-12ABF8E40BFC}">
  <dimension ref="A1"/>
  <sheetViews>
    <sheetView showGridLines="0" tabSelected="1" topLeftCell="B4" workbookViewId="0">
      <selection activeCell="W9" sqref="W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63D8-CD5B-4FBB-BCE2-58BB1599E708}">
  <dimension ref="B2:M16"/>
  <sheetViews>
    <sheetView showGridLines="0" workbookViewId="0">
      <selection activeCell="M16" sqref="M16"/>
    </sheetView>
  </sheetViews>
  <sheetFormatPr defaultRowHeight="14.4" x14ac:dyDescent="0.3"/>
  <sheetData>
    <row r="2" spans="2:13" x14ac:dyDescent="0.3">
      <c r="B2" t="s">
        <v>161</v>
      </c>
      <c r="F2" t="s">
        <v>171</v>
      </c>
    </row>
    <row r="3" spans="2:13" x14ac:dyDescent="0.3">
      <c r="M3" t="s">
        <v>169</v>
      </c>
    </row>
    <row r="14" spans="2:13" x14ac:dyDescent="0.3">
      <c r="B14" t="s">
        <v>164</v>
      </c>
      <c r="G14" t="s">
        <v>166</v>
      </c>
    </row>
    <row r="16" spans="2:13" x14ac:dyDescent="0.3">
      <c r="M16" t="s">
        <v>173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8B07-9C81-4BA5-9C01-99CA65463263}">
  <dimension ref="A1:X101"/>
  <sheetViews>
    <sheetView workbookViewId="0"/>
  </sheetViews>
  <sheetFormatPr defaultRowHeight="14.4" x14ac:dyDescent="0.3"/>
  <cols>
    <col min="1" max="1" width="13.77734375" customWidth="1"/>
    <col min="4" max="4" width="12.109375" customWidth="1"/>
    <col min="5" max="5" width="23.77734375" customWidth="1"/>
    <col min="6" max="6" width="19.21875" customWidth="1"/>
    <col min="7" max="7" width="23.33203125" customWidth="1"/>
    <col min="8" max="8" width="12.6640625" customWidth="1"/>
    <col min="9" max="9" width="11.88671875" customWidth="1"/>
    <col min="10" max="10" width="16.44140625" customWidth="1"/>
    <col min="11" max="11" width="15.21875" customWidth="1"/>
    <col min="12" max="12" width="16.77734375" customWidth="1"/>
    <col min="13" max="13" width="14.88671875" customWidth="1"/>
    <col min="14" max="14" width="15" customWidth="1"/>
    <col min="15" max="15" width="10.109375" customWidth="1"/>
    <col min="16" max="16" width="11.109375" customWidth="1"/>
    <col min="17" max="17" width="19.77734375" customWidth="1"/>
    <col min="18" max="18" width="23.6640625" customWidth="1"/>
    <col min="19" max="19" width="20.109375" customWidth="1"/>
    <col min="20" max="20" width="17.5546875" customWidth="1"/>
    <col min="21" max="21" width="12.88671875" customWidth="1"/>
    <col min="22" max="22" width="21.4414062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hidden="1"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hidden="1"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hidden="1"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hidden="1"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hidden="1"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hidden="1"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hidden="1"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hidden="1"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hidden="1"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hidden="1"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hidden="1"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hidden="1"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hidden="1"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hidden="1"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hidden="1"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hidden="1"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hidden="1"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hidden="1"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hidden="1"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hidden="1"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hidden="1"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hidden="1"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slicers</vt:lpstr>
      <vt:lpstr>dashboard</vt:lpstr>
      <vt:lpstr>charts</vt:lpstr>
      <vt:lpstr>supply_chain_data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anshiksingh593@gmail.com</cp:lastModifiedBy>
  <dcterms:created xsi:type="dcterms:W3CDTF">2026-06-09T12:07:26Z</dcterms:created>
  <dcterms:modified xsi:type="dcterms:W3CDTF">2026-06-11T08:40:25Z</dcterms:modified>
</cp:coreProperties>
</file>